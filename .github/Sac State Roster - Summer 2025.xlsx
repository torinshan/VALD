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acstate-my.sharepoint.com/personal/torin_shanahan_csus_edu/Documents/Sac State Football/"/>
    </mc:Choice>
  </mc:AlternateContent>
  <xr:revisionPtr revIDLastSave="285" documentId="13_ncr:1_{66464FCE-7626-4434-9EAD-D304C5A6ED76}" xr6:coauthVersionLast="47" xr6:coauthVersionMax="47" xr10:uidLastSave="{C7D50075-E7D2-1645-8FB4-8B9CAA8B401D}"/>
  <bookViews>
    <workbookView xWindow="-120" yWindow="-120" windowWidth="51840" windowHeight="21120" xr2:uid="{723FBC93-7B44-47BA-9107-C6D20D77A064}"/>
  </bookViews>
  <sheets>
    <sheet name="Master" sheetId="7" r:id="rId1"/>
    <sheet name="Sheet4" sheetId="19" r:id="rId2"/>
    <sheet name="Sheet1" sheetId="18" r:id="rId3"/>
    <sheet name="Groups 721" sheetId="13" state="hidden" r:id="rId4"/>
    <sheet name="Vendors" sheetId="1" r:id="rId5"/>
    <sheet name="Online Roster" sheetId="2" r:id="rId6"/>
    <sheet name="Sheet2" sheetId="16" r:id="rId7"/>
    <sheet name="Docks V4" sheetId="14" r:id="rId8"/>
    <sheet name="Docks V4 (2)" sheetId="17" r:id="rId9"/>
    <sheet name="Dock Builder" sheetId="9" r:id="rId10"/>
    <sheet name="Sheet3" sheetId="3" state="hidden" r:id="rId11"/>
    <sheet name="Draft Eligable Stats" sheetId="15" r:id="rId12"/>
  </sheets>
  <externalReferences>
    <externalReference r:id="rId13"/>
    <externalReference r:id="rId14"/>
    <externalReference r:id="rId15"/>
  </externalReferences>
  <definedNames>
    <definedName name="_xlnm.Print_Area" localSheetId="7">'Docks V4'!$A$1:$P$73</definedName>
    <definedName name="_xlnm.Print_Area" localSheetId="8">'Docks V4 (2)'!$A$1:$K$73</definedName>
    <definedName name="_xlnm.Print_Area" localSheetId="3">'Groups 721'!$A$1:$K$56</definedName>
  </definedNames>
  <calcPr calcId="191028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7" l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K25" i="19"/>
  <c r="H20" i="19"/>
  <c r="H21" i="19"/>
  <c r="H22" i="19"/>
  <c r="H19" i="19"/>
  <c r="G19" i="19" a="1"/>
  <c r="G19" i="19"/>
  <c r="E40" i="7"/>
  <c r="K40" i="7"/>
  <c r="M40" i="7" a="1"/>
  <c r="M40" i="7"/>
  <c r="E6" i="7"/>
  <c r="K122" i="7"/>
  <c r="M122" i="7" a="1"/>
  <c r="M122" i="7"/>
  <c r="G112" i="17"/>
  <c r="E112" i="17" a="1"/>
  <c r="E112" i="17"/>
  <c r="G111" i="17"/>
  <c r="E111" i="17" a="1"/>
  <c r="E111" i="17"/>
  <c r="G110" i="17"/>
  <c r="E110" i="17" a="1"/>
  <c r="E110" i="17"/>
  <c r="G109" i="17"/>
  <c r="E109" i="17" a="1"/>
  <c r="E109" i="17"/>
  <c r="G108" i="17"/>
  <c r="E108" i="17" a="1"/>
  <c r="E108" i="17"/>
  <c r="G107" i="17"/>
  <c r="E107" i="17" a="1"/>
  <c r="E107" i="17"/>
  <c r="G106" i="17"/>
  <c r="E106" i="17" a="1"/>
  <c r="E106" i="17"/>
  <c r="G105" i="17"/>
  <c r="E105" i="17" a="1"/>
  <c r="E105" i="17"/>
  <c r="G104" i="17"/>
  <c r="E104" i="17" a="1"/>
  <c r="E104" i="17"/>
  <c r="G103" i="17"/>
  <c r="E103" i="17" a="1"/>
  <c r="E103" i="17"/>
  <c r="G102" i="17"/>
  <c r="E102" i="17" a="1"/>
  <c r="E102" i="17"/>
  <c r="G101" i="17"/>
  <c r="E101" i="17" a="1"/>
  <c r="E101" i="17"/>
  <c r="G100" i="17"/>
  <c r="E100" i="17" a="1"/>
  <c r="E100" i="17"/>
  <c r="G99" i="17"/>
  <c r="E99" i="17" a="1"/>
  <c r="E99" i="17"/>
  <c r="G98" i="17"/>
  <c r="E98" i="17" a="1"/>
  <c r="E98" i="17"/>
  <c r="G97" i="17"/>
  <c r="E97" i="17" a="1"/>
  <c r="E97" i="17"/>
  <c r="G96" i="17"/>
  <c r="G95" i="17"/>
  <c r="E95" i="17" a="1"/>
  <c r="E95" i="17"/>
  <c r="G94" i="17"/>
  <c r="E94" i="17" a="1"/>
  <c r="E94" i="17"/>
  <c r="G93" i="17"/>
  <c r="E93" i="17" a="1"/>
  <c r="E93" i="17"/>
  <c r="G92" i="17"/>
  <c r="E92" i="17" a="1"/>
  <c r="E92" i="17"/>
  <c r="G91" i="17"/>
  <c r="E91" i="17" a="1"/>
  <c r="E91" i="17"/>
  <c r="G90" i="17"/>
  <c r="E90" i="17" a="1"/>
  <c r="E90" i="17"/>
  <c r="G89" i="17"/>
  <c r="E89" i="17" a="1"/>
  <c r="E89" i="17"/>
  <c r="G88" i="17"/>
  <c r="E88" i="17" a="1"/>
  <c r="E88" i="17"/>
  <c r="G87" i="17"/>
  <c r="E87" i="17" a="1"/>
  <c r="E87" i="17"/>
  <c r="G86" i="17"/>
  <c r="E86" i="17" a="1"/>
  <c r="E86" i="17"/>
  <c r="G85" i="17"/>
  <c r="E85" i="17" a="1"/>
  <c r="E85" i="17"/>
  <c r="G84" i="17"/>
  <c r="E84" i="17" a="1"/>
  <c r="E84" i="17"/>
  <c r="G83" i="17"/>
  <c r="E83" i="17" a="1"/>
  <c r="E83" i="17"/>
  <c r="G82" i="17"/>
  <c r="E82" i="17" a="1"/>
  <c r="E82" i="17"/>
  <c r="G81" i="17"/>
  <c r="G80" i="17"/>
  <c r="E80" i="17" a="1"/>
  <c r="E80" i="17"/>
  <c r="G79" i="17"/>
  <c r="E79" i="17" a="1"/>
  <c r="E79" i="17"/>
  <c r="G78" i="17"/>
  <c r="E78" i="17" a="1"/>
  <c r="E78" i="17"/>
  <c r="G77" i="17"/>
  <c r="G76" i="17"/>
  <c r="E76" i="17" a="1"/>
  <c r="E76" i="17"/>
  <c r="G75" i="17"/>
  <c r="E75" i="17" a="1"/>
  <c r="E75" i="17"/>
  <c r="G74" i="17"/>
  <c r="E74" i="17" a="1"/>
  <c r="E74" i="17"/>
  <c r="G73" i="17"/>
  <c r="E73" i="17" a="1"/>
  <c r="E73" i="17"/>
  <c r="G72" i="17"/>
  <c r="E72" i="17" a="1"/>
  <c r="E72" i="17"/>
  <c r="G71" i="17"/>
  <c r="E71" i="17" a="1"/>
  <c r="E71" i="17"/>
  <c r="G70" i="17"/>
  <c r="G69" i="17"/>
  <c r="E69" i="17" a="1"/>
  <c r="E69" i="17"/>
  <c r="G68" i="17"/>
  <c r="G67" i="17"/>
  <c r="E67" i="17" a="1"/>
  <c r="E67" i="17"/>
  <c r="G66" i="17"/>
  <c r="E66" i="17" a="1"/>
  <c r="E66" i="17"/>
  <c r="G65" i="17"/>
  <c r="G64" i="17"/>
  <c r="E64" i="17" a="1"/>
  <c r="E64" i="17"/>
  <c r="G63" i="17"/>
  <c r="E62" i="17" a="1"/>
  <c r="E62" i="17"/>
  <c r="G61" i="17"/>
  <c r="E61" i="17" a="1"/>
  <c r="E61" i="17"/>
  <c r="G60" i="17"/>
  <c r="E60" i="17" a="1"/>
  <c r="E60" i="17"/>
  <c r="G59" i="17"/>
  <c r="G58" i="17"/>
  <c r="E58" i="17" a="1"/>
  <c r="E58" i="17"/>
  <c r="G57" i="17"/>
  <c r="E57" i="17" a="1"/>
  <c r="E57" i="17"/>
  <c r="G56" i="17"/>
  <c r="E56" i="17" a="1"/>
  <c r="E56" i="17"/>
  <c r="G55" i="17"/>
  <c r="E55" i="17" a="1"/>
  <c r="E55" i="17"/>
  <c r="G54" i="17"/>
  <c r="E54" i="17" a="1"/>
  <c r="E54" i="17"/>
  <c r="G53" i="17"/>
  <c r="E53" i="17" a="1"/>
  <c r="E53" i="17"/>
  <c r="G52" i="17"/>
  <c r="E52" i="17" a="1"/>
  <c r="E52" i="17"/>
  <c r="G51" i="17"/>
  <c r="E51" i="17" a="1"/>
  <c r="E51" i="17"/>
  <c r="G50" i="17"/>
  <c r="E50" i="17" a="1"/>
  <c r="E50" i="17"/>
  <c r="G49" i="17"/>
  <c r="E49" i="17" a="1"/>
  <c r="E49" i="17"/>
  <c r="G48" i="17"/>
  <c r="E48" i="17" a="1"/>
  <c r="E48" i="17"/>
  <c r="G47" i="17"/>
  <c r="E47" i="17" a="1"/>
  <c r="E47" i="17"/>
  <c r="G46" i="17"/>
  <c r="E46" i="17" a="1"/>
  <c r="E46" i="17"/>
  <c r="G45" i="17"/>
  <c r="E45" i="17" a="1"/>
  <c r="E45" i="17"/>
  <c r="G44" i="17"/>
  <c r="E44" i="17" a="1"/>
  <c r="E44" i="17"/>
  <c r="G43" i="17"/>
  <c r="E43" i="17" a="1"/>
  <c r="E43" i="17"/>
  <c r="G42" i="17"/>
  <c r="E42" i="17" a="1"/>
  <c r="E42" i="17"/>
  <c r="G41" i="17"/>
  <c r="E41" i="17" a="1"/>
  <c r="E41" i="17"/>
  <c r="G40" i="17"/>
  <c r="E40" i="17" a="1"/>
  <c r="E40" i="17"/>
  <c r="G39" i="17"/>
  <c r="E39" i="17" a="1"/>
  <c r="E39" i="17"/>
  <c r="G38" i="17"/>
  <c r="E38" i="17" a="1"/>
  <c r="E38" i="17"/>
  <c r="G37" i="17"/>
  <c r="E37" i="17" a="1"/>
  <c r="E37" i="17"/>
  <c r="G36" i="17"/>
  <c r="E36" i="17" a="1"/>
  <c r="E36" i="17"/>
  <c r="G35" i="17"/>
  <c r="E35" i="17" a="1"/>
  <c r="E35" i="17"/>
  <c r="G34" i="17"/>
  <c r="E34" i="17" a="1"/>
  <c r="E34" i="17"/>
  <c r="G33" i="17"/>
  <c r="E33" i="17" a="1"/>
  <c r="E33" i="17"/>
  <c r="G32" i="17"/>
  <c r="E32" i="17" a="1"/>
  <c r="E32" i="17"/>
  <c r="G31" i="17"/>
  <c r="E31" i="17" a="1"/>
  <c r="E31" i="17"/>
  <c r="G30" i="17"/>
  <c r="E30" i="17" a="1"/>
  <c r="E30" i="17"/>
  <c r="G29" i="17"/>
  <c r="E29" i="17" a="1"/>
  <c r="E29" i="17"/>
  <c r="G28" i="17"/>
  <c r="E28" i="17" a="1"/>
  <c r="E28" i="17"/>
  <c r="G27" i="17"/>
  <c r="E27" i="17" a="1"/>
  <c r="E27" i="17"/>
  <c r="G26" i="17"/>
  <c r="E26" i="17" a="1"/>
  <c r="E26" i="17"/>
  <c r="G25" i="17"/>
  <c r="E25" i="17" a="1"/>
  <c r="E25" i="17"/>
  <c r="G24" i="17"/>
  <c r="E24" i="17" a="1"/>
  <c r="E24" i="17"/>
  <c r="G23" i="17"/>
  <c r="E23" i="17" a="1"/>
  <c r="E23" i="17"/>
  <c r="G22" i="17"/>
  <c r="G21" i="17"/>
  <c r="E21" i="17" a="1"/>
  <c r="E21" i="17"/>
  <c r="G20" i="17"/>
  <c r="E20" i="17" a="1"/>
  <c r="E20" i="17"/>
  <c r="G19" i="17"/>
  <c r="E19" i="17" a="1"/>
  <c r="E19" i="17"/>
  <c r="G18" i="17"/>
  <c r="E18" i="17" a="1"/>
  <c r="E18" i="17"/>
  <c r="G17" i="17"/>
  <c r="E17" i="17" a="1"/>
  <c r="E17" i="17"/>
  <c r="G16" i="17"/>
  <c r="E16" i="17" a="1"/>
  <c r="E16" i="17"/>
  <c r="G15" i="17"/>
  <c r="E15" i="17" a="1"/>
  <c r="E15" i="17"/>
  <c r="G14" i="17"/>
  <c r="E14" i="17" a="1"/>
  <c r="E14" i="17"/>
  <c r="G13" i="17"/>
  <c r="E13" i="17" a="1"/>
  <c r="E13" i="17"/>
  <c r="G12" i="17"/>
  <c r="E12" i="17" a="1"/>
  <c r="E12" i="17"/>
  <c r="G11" i="17"/>
  <c r="E11" i="17" a="1"/>
  <c r="E11" i="17"/>
  <c r="G10" i="17"/>
  <c r="E10" i="17" a="1"/>
  <c r="E10" i="17"/>
  <c r="G9" i="17"/>
  <c r="E9" i="17" a="1"/>
  <c r="E9" i="17"/>
  <c r="G8" i="17"/>
  <c r="E8" i="17" a="1"/>
  <c r="E8" i="17"/>
  <c r="G7" i="17"/>
  <c r="E7" i="17" a="1"/>
  <c r="E7" i="17"/>
  <c r="G6" i="17"/>
  <c r="G5" i="17"/>
  <c r="E5" i="17" a="1"/>
  <c r="E5" i="17"/>
  <c r="G4" i="17"/>
  <c r="E4" i="17" a="1"/>
  <c r="E4" i="17"/>
  <c r="G3" i="17"/>
  <c r="E3" i="17" a="1"/>
  <c r="E3" i="17"/>
  <c r="G2" i="17"/>
  <c r="E2" i="17" a="1"/>
  <c r="E2" i="17"/>
  <c r="P40" i="14" a="1"/>
  <c r="P40" i="14"/>
  <c r="P38" i="14" a="1"/>
  <c r="P38" i="14"/>
  <c r="P37" i="14" a="1"/>
  <c r="P37" i="14"/>
  <c r="P36" i="14" a="1"/>
  <c r="P36" i="14"/>
  <c r="P35" i="14" a="1"/>
  <c r="P35" i="14"/>
  <c r="P34" i="14" a="1"/>
  <c r="P34" i="14"/>
  <c r="P33" i="14" a="1"/>
  <c r="P33" i="14"/>
  <c r="P32" i="14" a="1"/>
  <c r="P32" i="14"/>
  <c r="P31" i="14" a="1"/>
  <c r="P31" i="14"/>
  <c r="P30" i="14" a="1"/>
  <c r="P30" i="14"/>
  <c r="P29" i="14" a="1"/>
  <c r="P29" i="14"/>
  <c r="P28" i="14" a="1"/>
  <c r="P28" i="14"/>
  <c r="P27" i="14" a="1"/>
  <c r="P27" i="14"/>
  <c r="P26" i="14" a="1"/>
  <c r="P26" i="14"/>
  <c r="P25" i="14" a="1"/>
  <c r="P25" i="14"/>
  <c r="P23" i="14" a="1"/>
  <c r="P23" i="14"/>
  <c r="P22" i="14" a="1"/>
  <c r="P22" i="14"/>
  <c r="P21" i="14" a="1"/>
  <c r="P21" i="14"/>
  <c r="P20" i="14" a="1"/>
  <c r="P20" i="14"/>
  <c r="P19" i="14" a="1"/>
  <c r="P19" i="14"/>
  <c r="P18" i="14" a="1"/>
  <c r="P18" i="14"/>
  <c r="P17" i="14" a="1"/>
  <c r="P17" i="14"/>
  <c r="P16" i="14" a="1"/>
  <c r="P16" i="14"/>
  <c r="P15" i="14" a="1"/>
  <c r="P15" i="14"/>
  <c r="P14" i="14" a="1"/>
  <c r="P14" i="14"/>
  <c r="P13" i="14" a="1"/>
  <c r="P13" i="14"/>
  <c r="P12" i="14" a="1"/>
  <c r="P12" i="14"/>
  <c r="P11" i="14" a="1"/>
  <c r="P11" i="14"/>
  <c r="P10" i="14" a="1"/>
  <c r="P10" i="14"/>
  <c r="P8" i="14" a="1"/>
  <c r="P8" i="14"/>
  <c r="P7" i="14" a="1"/>
  <c r="P7" i="14"/>
  <c r="P6" i="14" a="1"/>
  <c r="P6" i="14"/>
  <c r="P4" i="14" a="1"/>
  <c r="P4" i="14"/>
  <c r="P3" i="14" a="1"/>
  <c r="P3" i="14"/>
  <c r="P2" i="14" a="1"/>
  <c r="P2" i="14"/>
  <c r="G77" i="14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E107" i="15"/>
  <c r="E108" i="15"/>
  <c r="E109" i="15"/>
  <c r="E110" i="15"/>
  <c r="E111" i="15"/>
  <c r="E112" i="15"/>
  <c r="E113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F107" i="15"/>
  <c r="F108" i="15"/>
  <c r="F109" i="15"/>
  <c r="F110" i="15"/>
  <c r="F111" i="15"/>
  <c r="F112" i="15"/>
  <c r="F113" i="15"/>
  <c r="D9" i="15"/>
  <c r="D4" i="15"/>
  <c r="D37" i="15"/>
  <c r="D6" i="15"/>
  <c r="D7" i="15"/>
  <c r="D8" i="15"/>
  <c r="D41" i="15"/>
  <c r="D10" i="15"/>
  <c r="D11" i="15"/>
  <c r="D12" i="15"/>
  <c r="D13" i="15"/>
  <c r="D14" i="15"/>
  <c r="D15" i="15"/>
  <c r="D16" i="15"/>
  <c r="D55" i="15"/>
  <c r="D18" i="15"/>
  <c r="D19" i="15"/>
  <c r="D20" i="15"/>
  <c r="D21" i="15"/>
  <c r="D22" i="15"/>
  <c r="D23" i="15"/>
  <c r="D24" i="15"/>
  <c r="D17" i="15"/>
  <c r="D26" i="15"/>
  <c r="D27" i="15"/>
  <c r="D101" i="15"/>
  <c r="D29" i="15"/>
  <c r="D30" i="15"/>
  <c r="D31" i="15"/>
  <c r="D32" i="15"/>
  <c r="D33" i="15"/>
  <c r="D34" i="15"/>
  <c r="D35" i="15"/>
  <c r="D36" i="15"/>
  <c r="D28" i="15"/>
  <c r="D38" i="15"/>
  <c r="D39" i="15"/>
  <c r="D40" i="15"/>
  <c r="D93" i="15"/>
  <c r="D42" i="15"/>
  <c r="D43" i="15"/>
  <c r="D44" i="15"/>
  <c r="D45" i="15"/>
  <c r="D46" i="15"/>
  <c r="D47" i="15"/>
  <c r="D59" i="15"/>
  <c r="D49" i="15"/>
  <c r="D50" i="15"/>
  <c r="D51" i="15"/>
  <c r="D52" i="15"/>
  <c r="D53" i="15"/>
  <c r="D54" i="15"/>
  <c r="D88" i="15"/>
  <c r="D56" i="15"/>
  <c r="D57" i="15"/>
  <c r="D58" i="15"/>
  <c r="D5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97" i="15"/>
  <c r="D75" i="15"/>
  <c r="D76" i="15"/>
  <c r="D77" i="15"/>
  <c r="D78" i="15"/>
  <c r="D79" i="15"/>
  <c r="D80" i="15"/>
  <c r="D81" i="15"/>
  <c r="D104" i="15"/>
  <c r="D83" i="15"/>
  <c r="D84" i="15"/>
  <c r="D85" i="15"/>
  <c r="D86" i="15"/>
  <c r="D87" i="15"/>
  <c r="D74" i="15"/>
  <c r="D89" i="15"/>
  <c r="D90" i="15"/>
  <c r="D91" i="15"/>
  <c r="D106" i="15"/>
  <c r="D99" i="15"/>
  <c r="D94" i="15"/>
  <c r="D95" i="15"/>
  <c r="D96" i="15"/>
  <c r="D92" i="15"/>
  <c r="D98" i="15"/>
  <c r="D48" i="15"/>
  <c r="D100" i="15"/>
  <c r="D103" i="15"/>
  <c r="D25" i="15"/>
  <c r="D105" i="15"/>
  <c r="D107" i="15"/>
  <c r="D108" i="15"/>
  <c r="D109" i="15"/>
  <c r="D110" i="15"/>
  <c r="D111" i="15"/>
  <c r="D112" i="15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G107" i="15"/>
  <c r="H107" i="15"/>
  <c r="I107" i="15"/>
  <c r="G108" i="15"/>
  <c r="H108" i="15"/>
  <c r="I108" i="15"/>
  <c r="G109" i="15"/>
  <c r="H109" i="15"/>
  <c r="I109" i="15"/>
  <c r="G110" i="15"/>
  <c r="H110" i="15"/>
  <c r="I110" i="15"/>
  <c r="G111" i="15"/>
  <c r="H111" i="15"/>
  <c r="I111" i="15"/>
  <c r="G112" i="15"/>
  <c r="H112" i="15"/>
  <c r="I112" i="15"/>
  <c r="G113" i="15"/>
  <c r="H113" i="15"/>
  <c r="I113" i="15"/>
  <c r="E43" i="14" a="1"/>
  <c r="E43" i="14"/>
  <c r="E42" i="14" a="1"/>
  <c r="E42" i="14"/>
  <c r="E41" i="14" a="1"/>
  <c r="E41" i="14"/>
  <c r="E10" i="14" a="1"/>
  <c r="E10" i="14"/>
  <c r="K74" i="7"/>
  <c r="M74" i="7" a="1"/>
  <c r="M74" i="7"/>
  <c r="G41" i="14"/>
  <c r="E39" i="14" a="1"/>
  <c r="E39" i="14"/>
  <c r="G39" i="14"/>
  <c r="G10" i="14"/>
  <c r="G22" i="14"/>
  <c r="E48" i="14" a="1"/>
  <c r="E48" i="14"/>
  <c r="G48" i="14"/>
  <c r="E58" i="14" a="1"/>
  <c r="E58" i="14"/>
  <c r="E32" i="14" a="1"/>
  <c r="E32" i="14"/>
  <c r="G32" i="14"/>
  <c r="E40" i="14" a="1"/>
  <c r="E40" i="14"/>
  <c r="G110" i="14"/>
  <c r="E47" i="14" a="1"/>
  <c r="E47" i="14"/>
  <c r="G47" i="14"/>
  <c r="E49" i="14" a="1"/>
  <c r="E49" i="14"/>
  <c r="G49" i="14"/>
  <c r="E53" i="14" a="1"/>
  <c r="E53" i="14"/>
  <c r="G53" i="14"/>
  <c r="E57" i="14" a="1"/>
  <c r="E57" i="14"/>
  <c r="G61" i="14"/>
  <c r="E51" i="14" a="1"/>
  <c r="E51" i="14"/>
  <c r="G51" i="14"/>
  <c r="E33" i="14" a="1"/>
  <c r="E33" i="14"/>
  <c r="G33" i="14"/>
  <c r="E35" i="14" a="1"/>
  <c r="E35" i="14"/>
  <c r="G35" i="14"/>
  <c r="E54" i="14" a="1"/>
  <c r="E54" i="14"/>
  <c r="G54" i="14"/>
  <c r="E52" i="14" a="1"/>
  <c r="E52" i="14"/>
  <c r="G52" i="14"/>
  <c r="E60" i="14" a="1"/>
  <c r="E60" i="14"/>
  <c r="G59" i="14"/>
  <c r="E34" i="14" a="1"/>
  <c r="E34" i="14"/>
  <c r="G34" i="14"/>
  <c r="G6" i="14"/>
  <c r="E46" i="14" a="1"/>
  <c r="E46" i="14"/>
  <c r="G46" i="14"/>
  <c r="E45" i="14" a="1"/>
  <c r="E45" i="14"/>
  <c r="G45" i="14"/>
  <c r="E50" i="14" a="1"/>
  <c r="E50" i="14"/>
  <c r="G50" i="14"/>
  <c r="E44" i="14" a="1"/>
  <c r="E44" i="14"/>
  <c r="G44" i="14"/>
  <c r="G81" i="14"/>
  <c r="E12" i="14" a="1"/>
  <c r="E12" i="14"/>
  <c r="G12" i="14"/>
  <c r="E91" i="14" a="1"/>
  <c r="E91" i="14"/>
  <c r="G90" i="14"/>
  <c r="E107" i="14" a="1"/>
  <c r="E107" i="14"/>
  <c r="G108" i="14"/>
  <c r="E38" i="14" a="1"/>
  <c r="E38" i="14"/>
  <c r="G38" i="14"/>
  <c r="E98" i="14" a="1"/>
  <c r="E98" i="14"/>
  <c r="G99" i="14"/>
  <c r="E31" i="14" a="1"/>
  <c r="E31" i="14"/>
  <c r="G31" i="14"/>
  <c r="E99" i="14" a="1"/>
  <c r="E99" i="14"/>
  <c r="G100" i="14"/>
  <c r="E93" i="14" a="1"/>
  <c r="E93" i="14"/>
  <c r="G84" i="14"/>
  <c r="E8" i="14" a="1"/>
  <c r="E8" i="14"/>
  <c r="G8" i="14"/>
  <c r="E30" i="14" a="1"/>
  <c r="E30" i="14"/>
  <c r="G30" i="14"/>
  <c r="E29" i="14" a="1"/>
  <c r="E29" i="14"/>
  <c r="G29" i="14"/>
  <c r="E108" i="14" a="1"/>
  <c r="E108" i="14"/>
  <c r="G109" i="14"/>
  <c r="E90" i="14" a="1"/>
  <c r="E90" i="14"/>
  <c r="G86" i="14"/>
  <c r="E14" i="14" a="1"/>
  <c r="E14" i="14"/>
  <c r="G14" i="14"/>
  <c r="E88" i="14" a="1"/>
  <c r="E88" i="14"/>
  <c r="G87" i="14"/>
  <c r="E92" i="14" a="1"/>
  <c r="E92" i="14"/>
  <c r="G85" i="14"/>
  <c r="E56" i="14" a="1"/>
  <c r="E56" i="14"/>
  <c r="G56" i="14"/>
  <c r="E23" i="14" a="1"/>
  <c r="E23" i="14"/>
  <c r="G23" i="14"/>
  <c r="E55" i="14" a="1"/>
  <c r="E55" i="14"/>
  <c r="G55" i="14"/>
  <c r="E97" i="14" a="1"/>
  <c r="E97" i="14"/>
  <c r="G80" i="14"/>
  <c r="E37" i="14" a="1"/>
  <c r="E37" i="14"/>
  <c r="G37" i="14"/>
  <c r="E24" i="14" a="1"/>
  <c r="E24" i="14"/>
  <c r="G24" i="14"/>
  <c r="E110" i="14" a="1"/>
  <c r="E110" i="14"/>
  <c r="G111" i="14"/>
  <c r="E109" i="14" a="1"/>
  <c r="E109" i="14"/>
  <c r="G40" i="14"/>
  <c r="E111" i="14" a="1"/>
  <c r="E111" i="14"/>
  <c r="G112" i="14"/>
  <c r="E3" i="14" a="1"/>
  <c r="E3" i="14"/>
  <c r="G3" i="14"/>
  <c r="E104" i="14" a="1"/>
  <c r="E104" i="14"/>
  <c r="G105" i="14"/>
  <c r="E112" i="14" a="1"/>
  <c r="E112" i="14"/>
  <c r="E94" i="14" a="1"/>
  <c r="E94" i="14"/>
  <c r="G83" i="14"/>
  <c r="E105" i="14" a="1"/>
  <c r="E105" i="14"/>
  <c r="G106" i="14"/>
  <c r="E106" i="14" a="1"/>
  <c r="E106" i="14"/>
  <c r="G107" i="14"/>
  <c r="E13" i="14" a="1"/>
  <c r="E13" i="14"/>
  <c r="G13" i="14"/>
  <c r="E95" i="14" a="1"/>
  <c r="E95" i="14"/>
  <c r="G82" i="14"/>
  <c r="E11" i="14" a="1"/>
  <c r="E11" i="14"/>
  <c r="G11" i="14"/>
  <c r="E87" i="14" a="1"/>
  <c r="E87" i="14"/>
  <c r="G98" i="14"/>
  <c r="G58" i="14"/>
  <c r="E64" i="14" a="1"/>
  <c r="E64" i="14"/>
  <c r="G64" i="14"/>
  <c r="E66" i="14" a="1"/>
  <c r="E66" i="14"/>
  <c r="G66" i="14"/>
  <c r="E67" i="14" a="1"/>
  <c r="E67" i="14"/>
  <c r="G67" i="14"/>
  <c r="E71" i="14" a="1"/>
  <c r="E71" i="14"/>
  <c r="G71" i="14"/>
  <c r="E84" i="14" a="1"/>
  <c r="E84" i="14"/>
  <c r="G92" i="14"/>
  <c r="G68" i="14"/>
  <c r="G63" i="14"/>
  <c r="E69" i="14" a="1"/>
  <c r="E69" i="14"/>
  <c r="G69" i="14"/>
  <c r="E4" i="14" a="1"/>
  <c r="E4" i="14"/>
  <c r="G4" i="14"/>
  <c r="E72" i="14" a="1"/>
  <c r="E72" i="14"/>
  <c r="G72" i="14"/>
  <c r="G65" i="14"/>
  <c r="E73" i="14" a="1"/>
  <c r="E73" i="14"/>
  <c r="G73" i="14"/>
  <c r="G70" i="14"/>
  <c r="E79" i="14" a="1"/>
  <c r="E79" i="14"/>
  <c r="G97" i="14"/>
  <c r="E2" i="14" a="1"/>
  <c r="E2" i="14"/>
  <c r="G2" i="14"/>
  <c r="G95" i="14"/>
  <c r="E20" i="14" a="1"/>
  <c r="E20" i="14"/>
  <c r="G20" i="14"/>
  <c r="E19" i="14" a="1"/>
  <c r="E19" i="14"/>
  <c r="G19" i="14"/>
  <c r="E18" i="14" a="1"/>
  <c r="E18" i="14"/>
  <c r="G18" i="14"/>
  <c r="E36" i="14" a="1"/>
  <c r="E36" i="14"/>
  <c r="G36" i="14"/>
  <c r="E101" i="14" a="1"/>
  <c r="E101" i="14"/>
  <c r="G102" i="14"/>
  <c r="E83" i="14" a="1"/>
  <c r="E83" i="14"/>
  <c r="G93" i="14"/>
  <c r="E100" i="14" a="1"/>
  <c r="E100" i="14"/>
  <c r="G101" i="14"/>
  <c r="E25" i="14" a="1"/>
  <c r="E25" i="14"/>
  <c r="G25" i="14"/>
  <c r="E82" i="14" a="1"/>
  <c r="E82" i="14"/>
  <c r="G94" i="14"/>
  <c r="E62" i="14" a="1"/>
  <c r="E62" i="14"/>
  <c r="G57" i="14"/>
  <c r="E85" i="14" a="1"/>
  <c r="E85" i="14"/>
  <c r="G91" i="14"/>
  <c r="E28" i="14" a="1"/>
  <c r="E28" i="14"/>
  <c r="G28" i="14"/>
  <c r="E86" i="14" a="1"/>
  <c r="E86" i="14"/>
  <c r="G89" i="14"/>
  <c r="E61" i="14" a="1"/>
  <c r="E61" i="14"/>
  <c r="G60" i="14"/>
  <c r="E17" i="14" a="1"/>
  <c r="E17" i="14"/>
  <c r="G17" i="14"/>
  <c r="E16" i="14" a="1"/>
  <c r="E16" i="14"/>
  <c r="G16" i="14"/>
  <c r="E74" i="14" a="1"/>
  <c r="E74" i="14"/>
  <c r="G75" i="14"/>
  <c r="E75" i="14" a="1"/>
  <c r="E75" i="14"/>
  <c r="G76" i="14"/>
  <c r="E76" i="14" a="1"/>
  <c r="E76" i="14"/>
  <c r="G78" i="14"/>
  <c r="G43" i="14"/>
  <c r="G74" i="14"/>
  <c r="G42" i="14"/>
  <c r="E15" i="14" a="1"/>
  <c r="E15" i="14"/>
  <c r="G15" i="14"/>
  <c r="E26" i="14" a="1"/>
  <c r="E26" i="14"/>
  <c r="G26" i="14"/>
  <c r="E7" i="14" a="1"/>
  <c r="E7" i="14"/>
  <c r="G7" i="14"/>
  <c r="E89" i="14" a="1"/>
  <c r="E89" i="14"/>
  <c r="G88" i="14"/>
  <c r="E80" i="14" a="1"/>
  <c r="E80" i="14"/>
  <c r="G96" i="14"/>
  <c r="E21" i="14" a="1"/>
  <c r="E21" i="14"/>
  <c r="G21" i="14"/>
  <c r="E103" i="14" a="1"/>
  <c r="E103" i="14"/>
  <c r="G104" i="14"/>
  <c r="E9" i="14" a="1"/>
  <c r="E9" i="14"/>
  <c r="G9" i="14"/>
  <c r="E5" i="14" a="1"/>
  <c r="E5" i="14"/>
  <c r="G5" i="14"/>
  <c r="E102" i="14" a="1"/>
  <c r="E102" i="14"/>
  <c r="G103" i="14"/>
  <c r="E27" i="14" a="1"/>
  <c r="E27" i="14"/>
  <c r="G27" i="14"/>
  <c r="E78" i="14" a="1"/>
  <c r="E78" i="14"/>
  <c r="G79" i="14"/>
  <c r="E123" i="13"/>
  <c r="F123" i="13"/>
  <c r="G123" i="13"/>
  <c r="E124" i="13"/>
  <c r="F124" i="13"/>
  <c r="G124" i="13"/>
  <c r="E125" i="13"/>
  <c r="F125" i="13"/>
  <c r="G125" i="13"/>
  <c r="G122" i="13"/>
  <c r="F122" i="13"/>
  <c r="E122" i="13"/>
  <c r="D122" i="13"/>
  <c r="D123" i="13"/>
  <c r="D124" i="13"/>
  <c r="D125" i="13"/>
  <c r="C115" i="13" a="1"/>
  <c r="C115" i="13"/>
  <c r="D115" i="13"/>
  <c r="E115" i="13"/>
  <c r="E71" i="7"/>
  <c r="E54" i="7"/>
  <c r="E81" i="7"/>
  <c r="E94" i="7"/>
  <c r="E27" i="7"/>
  <c r="E76" i="7"/>
  <c r="E77" i="7"/>
  <c r="E100" i="7"/>
  <c r="E28" i="7"/>
  <c r="J28" i="7"/>
  <c r="E69" i="7"/>
  <c r="J69" i="7"/>
  <c r="E78" i="7"/>
  <c r="J78" i="7"/>
  <c r="E123" i="7"/>
  <c r="E29" i="7"/>
  <c r="J29" i="7"/>
  <c r="E92" i="7"/>
  <c r="E101" i="7"/>
  <c r="E111" i="7"/>
  <c r="E102" i="7"/>
  <c r="J102" i="7"/>
  <c r="E7" i="7"/>
  <c r="E108" i="7"/>
  <c r="E85" i="7"/>
  <c r="J85" i="7"/>
  <c r="E121" i="7"/>
  <c r="E86" i="7"/>
  <c r="E14" i="7"/>
  <c r="E15" i="7"/>
  <c r="J15" i="7"/>
  <c r="E43" i="7"/>
  <c r="E44" i="7"/>
  <c r="E19" i="7"/>
  <c r="E45" i="7"/>
  <c r="E22" i="7"/>
  <c r="E82" i="7"/>
  <c r="E36" i="7"/>
  <c r="E30" i="7"/>
  <c r="E61" i="7"/>
  <c r="E83" i="7"/>
  <c r="E79" i="7"/>
  <c r="J79" i="7"/>
  <c r="M79" i="7" a="1"/>
  <c r="M79" i="7"/>
  <c r="E37" i="7"/>
  <c r="E103" i="7"/>
  <c r="J103" i="7"/>
  <c r="E124" i="7"/>
  <c r="E104" i="7"/>
  <c r="J104" i="7"/>
  <c r="E90" i="7"/>
  <c r="E93" i="7"/>
  <c r="E87" i="7"/>
  <c r="E2" i="7"/>
  <c r="E11" i="7"/>
  <c r="E109" i="7"/>
  <c r="E91" i="7"/>
  <c r="E88" i="7"/>
  <c r="J88" i="7"/>
  <c r="E35" i="7"/>
  <c r="E12" i="7"/>
  <c r="E105" i="7"/>
  <c r="J105" i="7"/>
  <c r="E46" i="7"/>
  <c r="E58" i="7"/>
  <c r="E47" i="7"/>
  <c r="J47" i="7"/>
  <c r="E48" i="7"/>
  <c r="E59" i="7"/>
  <c r="E66" i="7"/>
  <c r="E49" i="7"/>
  <c r="E26" i="7"/>
  <c r="E60" i="7"/>
  <c r="E55" i="7"/>
  <c r="E95" i="7"/>
  <c r="E31" i="7"/>
  <c r="J31" i="7"/>
  <c r="E32" i="7"/>
  <c r="J32" i="7"/>
  <c r="E72" i="7"/>
  <c r="J72" i="7"/>
  <c r="E62" i="7"/>
  <c r="J62" i="7"/>
  <c r="E98" i="7"/>
  <c r="E25" i="7"/>
  <c r="E63" i="7"/>
  <c r="E75" i="7"/>
  <c r="E13" i="7"/>
  <c r="E3" i="7"/>
  <c r="J3" i="7"/>
  <c r="E97" i="7"/>
  <c r="E4" i="7"/>
  <c r="E106" i="7"/>
  <c r="E9" i="7"/>
  <c r="E89" i="7"/>
  <c r="E5" i="7"/>
  <c r="E50" i="7"/>
  <c r="E51" i="7"/>
  <c r="J51" i="7"/>
  <c r="E56" i="7"/>
  <c r="E20" i="7"/>
  <c r="E16" i="7"/>
  <c r="E17" i="7"/>
  <c r="E23" i="7"/>
  <c r="E24" i="7"/>
  <c r="E84" i="7"/>
  <c r="E33" i="7"/>
  <c r="E64" i="7"/>
  <c r="E96" i="7"/>
  <c r="J96" i="7"/>
  <c r="E65" i="7"/>
  <c r="E73" i="7"/>
  <c r="E99" i="7"/>
  <c r="E67" i="7"/>
  <c r="J80" i="7"/>
  <c r="E34" i="7"/>
  <c r="K34" i="7"/>
  <c r="E125" i="7"/>
  <c r="E10" i="7"/>
  <c r="E107" i="7"/>
  <c r="M110" i="7" a="1"/>
  <c r="M110" i="7"/>
  <c r="E38" i="7"/>
  <c r="E41" i="7"/>
  <c r="J41" i="7"/>
  <c r="E42" i="7"/>
  <c r="J42" i="7"/>
  <c r="E70" i="7"/>
  <c r="E39" i="7"/>
  <c r="E57" i="7"/>
  <c r="E21" i="7"/>
  <c r="E18" i="7"/>
  <c r="E52" i="7"/>
  <c r="E68" i="7"/>
  <c r="E53" i="7"/>
  <c r="L113" i="2" a="1"/>
  <c r="L113" i="2"/>
  <c r="E120" i="7"/>
  <c r="E119" i="7"/>
  <c r="E118" i="7"/>
  <c r="E117" i="7"/>
  <c r="E115" i="7"/>
  <c r="E116" i="7"/>
  <c r="E114" i="7"/>
  <c r="E113" i="7"/>
  <c r="E112" i="7"/>
  <c r="D118" i="13"/>
  <c r="E118" i="13"/>
  <c r="D116" i="13"/>
  <c r="E116" i="13"/>
  <c r="D117" i="13"/>
  <c r="E117" i="13"/>
  <c r="E8" i="7"/>
  <c r="D23" i="9" a="1"/>
  <c r="L112" i="2" a="1"/>
  <c r="L112" i="2"/>
  <c r="E25" i="9"/>
  <c r="E28" i="9"/>
  <c r="E27" i="9"/>
  <c r="E26" i="9"/>
  <c r="D23" i="9"/>
  <c r="E23" i="9"/>
  <c r="E24" i="9"/>
  <c r="D11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8" i="1"/>
  <c r="B89" i="1"/>
  <c r="B90" i="1"/>
  <c r="B91" i="1"/>
  <c r="B112" i="1"/>
  <c r="B95" i="1"/>
  <c r="B96" i="1"/>
  <c r="B97" i="1"/>
  <c r="B101" i="1"/>
  <c r="B102" i="1"/>
  <c r="B103" i="1"/>
  <c r="B104" i="1"/>
  <c r="B105" i="1"/>
  <c r="B106" i="1"/>
  <c r="B107" i="1"/>
  <c r="B108" i="1"/>
  <c r="B11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8" i="1"/>
  <c r="D89" i="1"/>
  <c r="D90" i="1"/>
  <c r="D91" i="1"/>
  <c r="D95" i="1"/>
  <c r="D96" i="1"/>
  <c r="D97" i="1"/>
  <c r="D101" i="1"/>
  <c r="D102" i="1"/>
  <c r="D103" i="1"/>
  <c r="D104" i="1"/>
  <c r="D105" i="1"/>
  <c r="D106" i="1"/>
  <c r="D107" i="1"/>
  <c r="D108" i="1"/>
  <c r="D110" i="1"/>
  <c r="D111" i="1"/>
  <c r="D3" i="1"/>
  <c r="B111" i="1"/>
  <c r="K70" i="2" a="1"/>
  <c r="K70" i="2"/>
  <c r="K8" i="2" a="1"/>
  <c r="K8" i="2"/>
  <c r="K39" i="2" a="1"/>
  <c r="K39" i="2"/>
  <c r="K47" i="2" a="1"/>
  <c r="K47" i="2"/>
  <c r="K12" i="2" a="1"/>
  <c r="K12" i="2"/>
  <c r="K89" i="2" a="1"/>
  <c r="K89" i="2"/>
  <c r="K14" i="2" a="1"/>
  <c r="K14" i="2"/>
  <c r="K58" i="2" a="1"/>
  <c r="K58" i="2"/>
  <c r="K20" i="2" a="1"/>
  <c r="K20" i="2"/>
  <c r="K52" i="2" a="1"/>
  <c r="K52" i="2"/>
  <c r="K29" i="2" a="1"/>
  <c r="K29" i="2"/>
  <c r="K18" i="2" a="1"/>
  <c r="K18" i="2"/>
  <c r="K32" i="2" a="1"/>
  <c r="K32" i="2"/>
  <c r="K4" i="2" a="1"/>
  <c r="K4" i="2"/>
  <c r="K80" i="2" a="1"/>
  <c r="K80" i="2"/>
  <c r="K22" i="2" a="1"/>
  <c r="K22" i="2"/>
  <c r="K90" i="2" a="1"/>
  <c r="K90" i="2"/>
  <c r="K23" i="2" a="1"/>
  <c r="K23" i="2"/>
  <c r="K54" i="2" a="1"/>
  <c r="K54" i="2"/>
  <c r="K24" i="2" a="1"/>
  <c r="K24" i="2"/>
  <c r="K33" i="2" a="1"/>
  <c r="K33" i="2"/>
  <c r="K15" i="2" a="1"/>
  <c r="K15" i="2"/>
  <c r="K30" i="2" a="1"/>
  <c r="K30" i="2"/>
  <c r="K3" i="2" a="1"/>
  <c r="K3" i="2"/>
  <c r="K40" i="2" a="1"/>
  <c r="K40" i="2"/>
  <c r="K43" i="2" a="1"/>
  <c r="K43" i="2"/>
  <c r="K35" i="2" a="1"/>
  <c r="K35" i="2"/>
  <c r="K76" i="2" a="1"/>
  <c r="K76" i="2"/>
  <c r="K55" i="2" a="1"/>
  <c r="K55" i="2"/>
  <c r="K63" i="2" a="1"/>
  <c r="K63" i="2"/>
  <c r="K36" i="2" a="1"/>
  <c r="K36" i="2"/>
  <c r="K59" i="2" a="1"/>
  <c r="K59" i="2"/>
  <c r="K6" i="2" a="1"/>
  <c r="K6" i="2"/>
  <c r="K37" i="2" a="1"/>
  <c r="K37" i="2"/>
  <c r="K10" i="2" a="1"/>
  <c r="K10" i="2"/>
  <c r="K65" i="2" a="1"/>
  <c r="K65" i="2"/>
  <c r="K71" i="2" a="1"/>
  <c r="K71" i="2"/>
  <c r="K67" i="2" a="1"/>
  <c r="K67" i="2"/>
  <c r="K7" i="2" a="1"/>
  <c r="K7" i="2"/>
  <c r="K48" i="2" a="1"/>
  <c r="K48" i="2"/>
  <c r="K41" i="2" a="1"/>
  <c r="K41" i="2"/>
  <c r="K16" i="2" a="1"/>
  <c r="K16" i="2"/>
  <c r="K11" i="2" a="1"/>
  <c r="K11" i="2"/>
  <c r="K72" i="2" a="1"/>
  <c r="K72" i="2"/>
  <c r="K42" i="2" a="1"/>
  <c r="K42" i="2"/>
  <c r="K17" i="2" a="1"/>
  <c r="K17" i="2"/>
  <c r="K46" i="2" a="1"/>
  <c r="K46" i="2"/>
  <c r="K28" i="2" a="1"/>
  <c r="K28" i="2"/>
  <c r="K45" i="2" a="1"/>
  <c r="K45" i="2"/>
  <c r="K31" i="2" a="1"/>
  <c r="K31" i="2"/>
  <c r="K75" i="2" a="1"/>
  <c r="K75" i="2"/>
  <c r="K56" i="2" a="1"/>
  <c r="K56" i="2"/>
  <c r="K62" i="2" a="1"/>
  <c r="K62" i="2"/>
  <c r="K61" i="2" a="1"/>
  <c r="K61" i="2"/>
  <c r="K60" i="2" a="1"/>
  <c r="K60" i="2"/>
  <c r="K26" i="2" a="1"/>
  <c r="K26" i="2"/>
  <c r="K81" i="2" a="1"/>
  <c r="K81" i="2"/>
  <c r="K68" i="2" a="1"/>
  <c r="K68" i="2"/>
  <c r="K25" i="2" a="1"/>
  <c r="K25" i="2"/>
  <c r="K49" i="2" a="1"/>
  <c r="K49" i="2"/>
  <c r="K74" i="2" a="1"/>
  <c r="K74" i="2"/>
  <c r="K78" i="2" a="1"/>
  <c r="K78" i="2"/>
  <c r="K57" i="2" a="1"/>
  <c r="K57" i="2"/>
  <c r="K34" i="2" a="1"/>
  <c r="K34" i="2"/>
  <c r="K19" i="2" a="1"/>
  <c r="K19" i="2"/>
  <c r="K84" i="2" a="1"/>
  <c r="K84" i="2"/>
  <c r="K93" i="2" a="1"/>
  <c r="K93" i="2"/>
  <c r="K97" i="2" a="1"/>
  <c r="K97" i="2"/>
  <c r="K87" i="2" a="1"/>
  <c r="K87" i="2"/>
  <c r="K77" i="2" a="1"/>
  <c r="K77" i="2"/>
  <c r="K86" i="2" a="1"/>
  <c r="K86" i="2"/>
  <c r="K104" i="2" a="1"/>
  <c r="K104" i="2"/>
  <c r="K106" i="2" a="1"/>
  <c r="K106" i="2"/>
  <c r="K85" i="2" a="1"/>
  <c r="K85" i="2"/>
  <c r="K27" i="2" a="1"/>
  <c r="K27" i="2"/>
  <c r="K98" i="2" a="1"/>
  <c r="K98" i="2"/>
  <c r="K91" i="2" a="1"/>
  <c r="K91" i="2"/>
  <c r="K95" i="2" a="1"/>
  <c r="K95" i="2"/>
  <c r="K83" i="2" a="1"/>
  <c r="K83" i="2"/>
  <c r="K109" i="2" a="1"/>
  <c r="K109" i="2"/>
  <c r="K107" i="2" a="1"/>
  <c r="K107" i="2"/>
  <c r="K101" i="2" a="1"/>
  <c r="K101" i="2"/>
  <c r="K94" i="2" a="1"/>
  <c r="K94" i="2"/>
  <c r="K102" i="2" a="1"/>
  <c r="K102" i="2"/>
  <c r="K96" i="2" a="1"/>
  <c r="K96" i="2"/>
  <c r="K100" i="2" a="1"/>
  <c r="K100" i="2"/>
  <c r="K103" i="2" a="1"/>
  <c r="K103" i="2"/>
  <c r="K88" i="2" a="1"/>
  <c r="K88" i="2"/>
  <c r="K111" i="2" a="1"/>
  <c r="K111" i="2"/>
  <c r="K38" i="2" a="1"/>
  <c r="K38" i="2"/>
  <c r="K13" i="2" a="1"/>
  <c r="K13" i="2"/>
  <c r="K9" i="2" a="1"/>
  <c r="K9" i="2"/>
  <c r="K53" i="2" a="1"/>
  <c r="K53" i="2"/>
  <c r="K50" i="2" a="1"/>
  <c r="K50" i="2"/>
  <c r="K79" i="2" a="1"/>
  <c r="K79" i="2"/>
  <c r="K69" i="2" a="1"/>
  <c r="K69" i="2"/>
  <c r="K82" i="2" a="1"/>
  <c r="K82" i="2"/>
  <c r="K110" i="2" a="1"/>
  <c r="K110" i="2"/>
  <c r="K105" i="2" a="1"/>
  <c r="K105" i="2"/>
  <c r="K44" i="2" a="1"/>
  <c r="K44" i="2"/>
  <c r="K99" i="2" a="1"/>
  <c r="K99" i="2"/>
  <c r="K108" i="2" a="1"/>
  <c r="K108" i="2"/>
  <c r="K73" i="2" a="1"/>
  <c r="K73" i="2"/>
  <c r="K21" i="2" a="1"/>
  <c r="K21" i="2"/>
  <c r="K5" i="2" a="1"/>
  <c r="K5" i="2"/>
  <c r="L70" i="2" a="1"/>
  <c r="L70" i="2"/>
  <c r="L8" i="2" a="1"/>
  <c r="L8" i="2"/>
  <c r="L39" i="2" a="1"/>
  <c r="L39" i="2"/>
  <c r="L47" i="2" a="1"/>
  <c r="L47" i="2"/>
  <c r="L12" i="2" a="1"/>
  <c r="L12" i="2"/>
  <c r="L89" i="2" a="1"/>
  <c r="L89" i="2"/>
  <c r="L14" i="2" a="1"/>
  <c r="L14" i="2"/>
  <c r="L58" i="2" a="1"/>
  <c r="L58" i="2"/>
  <c r="L20" i="2" a="1"/>
  <c r="L20" i="2"/>
  <c r="L52" i="2" a="1"/>
  <c r="L52" i="2"/>
  <c r="L29" i="2" a="1"/>
  <c r="L29" i="2"/>
  <c r="L18" i="2" a="1"/>
  <c r="L18" i="2"/>
  <c r="L32" i="2" a="1"/>
  <c r="L32" i="2"/>
  <c r="L4" i="2" a="1"/>
  <c r="L4" i="2"/>
  <c r="L80" i="2" a="1"/>
  <c r="L80" i="2"/>
  <c r="L22" i="2" a="1"/>
  <c r="L22" i="2"/>
  <c r="L90" i="2" a="1"/>
  <c r="L90" i="2"/>
  <c r="L23" i="2" a="1"/>
  <c r="L23" i="2"/>
  <c r="L54" i="2" a="1"/>
  <c r="L54" i="2"/>
  <c r="L24" i="2" a="1"/>
  <c r="L24" i="2"/>
  <c r="L33" i="2" a="1"/>
  <c r="L33" i="2"/>
  <c r="L15" i="2" a="1"/>
  <c r="L15" i="2"/>
  <c r="L30" i="2" a="1"/>
  <c r="L30" i="2"/>
  <c r="L3" i="2" a="1"/>
  <c r="L3" i="2"/>
  <c r="L40" i="2" a="1"/>
  <c r="L40" i="2"/>
  <c r="L43" i="2" a="1"/>
  <c r="L43" i="2"/>
  <c r="L35" i="2" a="1"/>
  <c r="L35" i="2"/>
  <c r="L76" i="2" a="1"/>
  <c r="L76" i="2"/>
  <c r="L55" i="2" a="1"/>
  <c r="L55" i="2"/>
  <c r="L63" i="2" a="1"/>
  <c r="L63" i="2"/>
  <c r="L36" i="2" a="1"/>
  <c r="L36" i="2"/>
  <c r="L59" i="2" a="1"/>
  <c r="L59" i="2"/>
  <c r="L6" i="2" a="1"/>
  <c r="L6" i="2"/>
  <c r="L37" i="2" a="1"/>
  <c r="L37" i="2"/>
  <c r="L10" i="2" a="1"/>
  <c r="L10" i="2"/>
  <c r="L65" i="2" a="1"/>
  <c r="L65" i="2"/>
  <c r="L71" i="2" a="1"/>
  <c r="L71" i="2"/>
  <c r="L67" i="2" a="1"/>
  <c r="L67" i="2"/>
  <c r="L7" i="2" a="1"/>
  <c r="L7" i="2"/>
  <c r="L48" i="2" a="1"/>
  <c r="L48" i="2"/>
  <c r="L41" i="2" a="1"/>
  <c r="L41" i="2"/>
  <c r="L16" i="2" a="1"/>
  <c r="L16" i="2"/>
  <c r="L11" i="2" a="1"/>
  <c r="L11" i="2"/>
  <c r="L72" i="2" a="1"/>
  <c r="L72" i="2"/>
  <c r="L42" i="2" a="1"/>
  <c r="L42" i="2"/>
  <c r="L17" i="2" a="1"/>
  <c r="L17" i="2"/>
  <c r="L46" i="2" a="1"/>
  <c r="L46" i="2"/>
  <c r="L28" i="2" a="1"/>
  <c r="L28" i="2"/>
  <c r="L45" i="2" a="1"/>
  <c r="L45" i="2"/>
  <c r="L31" i="2" a="1"/>
  <c r="L31" i="2"/>
  <c r="L75" i="2" a="1"/>
  <c r="L75" i="2"/>
  <c r="L56" i="2" a="1"/>
  <c r="L56" i="2"/>
  <c r="L62" i="2" a="1"/>
  <c r="L62" i="2"/>
  <c r="L61" i="2" a="1"/>
  <c r="L61" i="2"/>
  <c r="L60" i="2" a="1"/>
  <c r="L60" i="2"/>
  <c r="L26" i="2" a="1"/>
  <c r="L26" i="2"/>
  <c r="L81" i="2" a="1"/>
  <c r="L81" i="2"/>
  <c r="L68" i="2" a="1"/>
  <c r="L68" i="2"/>
  <c r="L25" i="2" a="1"/>
  <c r="L25" i="2"/>
  <c r="L49" i="2" a="1"/>
  <c r="L49" i="2"/>
  <c r="L74" i="2" a="1"/>
  <c r="L74" i="2"/>
  <c r="L78" i="2" a="1"/>
  <c r="L78" i="2"/>
  <c r="L57" i="2" a="1"/>
  <c r="L57" i="2"/>
  <c r="L34" i="2" a="1"/>
  <c r="L34" i="2"/>
  <c r="L19" i="2" a="1"/>
  <c r="L19" i="2"/>
  <c r="L84" i="2" a="1"/>
  <c r="L84" i="2"/>
  <c r="L93" i="2" a="1"/>
  <c r="L93" i="2"/>
  <c r="L97" i="2" a="1"/>
  <c r="L97" i="2"/>
  <c r="L87" i="2" a="1"/>
  <c r="L87" i="2"/>
  <c r="L77" i="2" a="1"/>
  <c r="L77" i="2"/>
  <c r="L86" i="2" a="1"/>
  <c r="L86" i="2"/>
  <c r="L104" i="2" a="1"/>
  <c r="L104" i="2"/>
  <c r="L106" i="2" a="1"/>
  <c r="L106" i="2"/>
  <c r="L85" i="2" a="1"/>
  <c r="L85" i="2"/>
  <c r="L27" i="2" a="1"/>
  <c r="L27" i="2"/>
  <c r="L98" i="2" a="1"/>
  <c r="L98" i="2"/>
  <c r="L91" i="2" a="1"/>
  <c r="L91" i="2"/>
  <c r="L95" i="2" a="1"/>
  <c r="L95" i="2"/>
  <c r="L83" i="2" a="1"/>
  <c r="L83" i="2"/>
  <c r="L109" i="2" a="1"/>
  <c r="L109" i="2"/>
  <c r="L107" i="2" a="1"/>
  <c r="L107" i="2"/>
  <c r="L101" i="2" a="1"/>
  <c r="L101" i="2"/>
  <c r="L94" i="2" a="1"/>
  <c r="L94" i="2"/>
  <c r="L102" i="2" a="1"/>
  <c r="L102" i="2"/>
  <c r="L96" i="2" a="1"/>
  <c r="L96" i="2"/>
  <c r="L100" i="2" a="1"/>
  <c r="L100" i="2"/>
  <c r="L103" i="2" a="1"/>
  <c r="L103" i="2"/>
  <c r="L88" i="2" a="1"/>
  <c r="L88" i="2"/>
  <c r="L111" i="2" a="1"/>
  <c r="L111" i="2"/>
  <c r="L38" i="2" a="1"/>
  <c r="L38" i="2"/>
  <c r="L13" i="2" a="1"/>
  <c r="L13" i="2"/>
  <c r="L9" i="2" a="1"/>
  <c r="L9" i="2"/>
  <c r="L53" i="2" a="1"/>
  <c r="L53" i="2"/>
  <c r="L50" i="2" a="1"/>
  <c r="L50" i="2"/>
  <c r="L79" i="2" a="1"/>
  <c r="L79" i="2"/>
  <c r="L69" i="2" a="1"/>
  <c r="L69" i="2"/>
  <c r="L82" i="2" a="1"/>
  <c r="L82" i="2"/>
  <c r="L110" i="2" a="1"/>
  <c r="L110" i="2"/>
  <c r="L105" i="2" a="1"/>
  <c r="L105" i="2"/>
  <c r="L44" i="2" a="1"/>
  <c r="L44" i="2"/>
  <c r="L99" i="2" a="1"/>
  <c r="L99" i="2"/>
  <c r="L108" i="2" a="1"/>
  <c r="L108" i="2"/>
  <c r="L73" i="2" a="1"/>
  <c r="L73" i="2"/>
  <c r="L21" i="2" a="1"/>
  <c r="L21" i="2"/>
  <c r="L5" i="2" a="1"/>
  <c r="L5" i="2"/>
  <c r="L54" i="7"/>
  <c r="M54" i="7" a="1"/>
  <c r="M54" i="7"/>
  <c r="L72" i="7"/>
  <c r="M72" i="7" a="1"/>
  <c r="M72" i="7"/>
  <c r="L16" i="7"/>
  <c r="M16" i="7" a="1"/>
  <c r="M16" i="7"/>
  <c r="L99" i="7"/>
  <c r="M99" i="7" a="1"/>
  <c r="M99" i="7"/>
  <c r="L8" i="7"/>
  <c r="M8" i="7" a="1"/>
  <c r="M8" i="7"/>
  <c r="L22" i="7"/>
  <c r="M22" i="7" a="1"/>
  <c r="M22" i="7"/>
  <c r="L124" i="7"/>
  <c r="M124" i="7" a="1"/>
  <c r="M124" i="7"/>
  <c r="L88" i="7"/>
  <c r="M88" i="7" a="1"/>
  <c r="M88" i="7"/>
  <c r="M66" i="7" a="1"/>
  <c r="M66" i="7"/>
  <c r="L4" i="7"/>
  <c r="M4" i="7" a="1"/>
  <c r="M4" i="7"/>
  <c r="L42" i="7"/>
  <c r="M42" i="7" a="1"/>
  <c r="M42" i="7"/>
  <c r="L112" i="7"/>
  <c r="M112" i="7" a="1"/>
  <c r="M112" i="7"/>
  <c r="L85" i="7"/>
  <c r="M85" i="7" a="1"/>
  <c r="M85" i="7"/>
  <c r="L17" i="7"/>
  <c r="M17" i="7" a="1"/>
  <c r="M17" i="7"/>
  <c r="L67" i="7"/>
  <c r="M67" i="7" a="1"/>
  <c r="M67" i="7"/>
  <c r="L113" i="7"/>
  <c r="M113" i="7" a="1"/>
  <c r="M113" i="7"/>
  <c r="L82" i="7"/>
  <c r="M82" i="7" a="1"/>
  <c r="M82" i="7"/>
  <c r="M35" i="7" a="1"/>
  <c r="M35" i="7"/>
  <c r="L49" i="7"/>
  <c r="M49" i="7" a="1"/>
  <c r="M49" i="7"/>
  <c r="L62" i="7"/>
  <c r="M62" i="7" a="1"/>
  <c r="M62" i="7"/>
  <c r="L106" i="7"/>
  <c r="M106" i="7" a="1"/>
  <c r="M106" i="7"/>
  <c r="L70" i="7"/>
  <c r="M70" i="7" a="1"/>
  <c r="M70" i="7"/>
  <c r="L114" i="7"/>
  <c r="M114" i="7" a="1"/>
  <c r="M114" i="7"/>
  <c r="L121" i="7"/>
  <c r="M121" i="7" a="1"/>
  <c r="M121" i="7"/>
  <c r="L23" i="7"/>
  <c r="M23" i="7" a="1"/>
  <c r="M23" i="7"/>
  <c r="L80" i="7"/>
  <c r="M80" i="7" a="1"/>
  <c r="M80" i="7"/>
  <c r="L115" i="7"/>
  <c r="M115" i="7" a="1"/>
  <c r="M115" i="7"/>
  <c r="L125" i="7"/>
  <c r="M125" i="7" a="1"/>
  <c r="M125" i="7"/>
  <c r="L55" i="7"/>
  <c r="M55" i="7" a="1"/>
  <c r="M55" i="7"/>
  <c r="L87" i="7"/>
  <c r="M87" i="7" a="1"/>
  <c r="M87" i="7"/>
  <c r="M10" i="7" a="1"/>
  <c r="M10" i="7"/>
  <c r="L95" i="7"/>
  <c r="M95" i="7" a="1"/>
  <c r="M95" i="7"/>
  <c r="L107" i="7"/>
  <c r="M107" i="7" a="1"/>
  <c r="M107" i="7"/>
  <c r="L78" i="7"/>
  <c r="M78" i="7" a="1"/>
  <c r="M78" i="7"/>
  <c r="L81" i="7"/>
  <c r="M81" i="7" a="1"/>
  <c r="M81" i="7"/>
  <c r="L104" i="7"/>
  <c r="M104" i="7" a="1"/>
  <c r="M104" i="7"/>
  <c r="L21" i="7"/>
  <c r="M21" i="7" a="1"/>
  <c r="M21" i="7"/>
  <c r="L46" i="7"/>
  <c r="M46" i="7" a="1"/>
  <c r="M46" i="7"/>
  <c r="L18" i="7"/>
  <c r="M18" i="7" a="1"/>
  <c r="M18" i="7"/>
  <c r="L2" i="7"/>
  <c r="M2" i="7" a="1"/>
  <c r="M2" i="7"/>
  <c r="L96" i="7"/>
  <c r="M96" i="7" a="1"/>
  <c r="M96" i="7"/>
  <c r="L103" i="7"/>
  <c r="M103" i="7" a="1"/>
  <c r="M103" i="7"/>
  <c r="M123" i="7" a="1"/>
  <c r="M123" i="7"/>
  <c r="L94" i="7"/>
  <c r="M94" i="7" a="1"/>
  <c r="M94" i="7"/>
  <c r="L36" i="7"/>
  <c r="M36" i="7" a="1"/>
  <c r="M36" i="7"/>
  <c r="L12" i="7"/>
  <c r="M12" i="7" a="1"/>
  <c r="M12" i="7"/>
  <c r="M26" i="7" a="1"/>
  <c r="M26" i="7"/>
  <c r="L98" i="7"/>
  <c r="M98" i="7" a="1"/>
  <c r="M98" i="7"/>
  <c r="L9" i="7"/>
  <c r="M9" i="7" a="1"/>
  <c r="M9" i="7"/>
  <c r="L39" i="7"/>
  <c r="M39" i="7" a="1"/>
  <c r="M39" i="7"/>
  <c r="L116" i="7"/>
  <c r="M116" i="7" a="1"/>
  <c r="M116" i="7"/>
  <c r="L86" i="7"/>
  <c r="M86" i="7" a="1"/>
  <c r="M86" i="7"/>
  <c r="L24" i="7"/>
  <c r="M24" i="7" a="1"/>
  <c r="M24" i="7"/>
  <c r="L60" i="7"/>
  <c r="M60" i="7" a="1"/>
  <c r="M60" i="7"/>
  <c r="L57" i="7"/>
  <c r="L92" i="7"/>
  <c r="M92" i="7" a="1"/>
  <c r="M92" i="7"/>
  <c r="L93" i="7"/>
  <c r="M93" i="7" a="1"/>
  <c r="M93" i="7"/>
  <c r="M84" i="7" a="1"/>
  <c r="M84" i="7"/>
  <c r="L119" i="7"/>
  <c r="M119" i="7" a="1"/>
  <c r="M119" i="7"/>
  <c r="L5" i="7"/>
  <c r="M5" i="7" a="1"/>
  <c r="M5" i="7"/>
  <c r="L101" i="7"/>
  <c r="M101" i="7" a="1"/>
  <c r="M101" i="7"/>
  <c r="L83" i="7"/>
  <c r="M83" i="7" a="1"/>
  <c r="M83" i="7"/>
  <c r="L75" i="7"/>
  <c r="M75" i="7" a="1"/>
  <c r="M75" i="7"/>
  <c r="L58" i="7"/>
  <c r="M58" i="7" a="1"/>
  <c r="M58" i="7"/>
  <c r="L13" i="7"/>
  <c r="M13" i="7" a="1"/>
  <c r="M13" i="7"/>
  <c r="L51" i="7"/>
  <c r="M51" i="7" a="1"/>
  <c r="M51" i="7"/>
  <c r="L45" i="7"/>
  <c r="M45" i="7" a="1"/>
  <c r="M45" i="7"/>
  <c r="M27" i="7" a="1"/>
  <c r="M27" i="7"/>
  <c r="L29" i="7"/>
  <c r="M29" i="7" a="1"/>
  <c r="M29" i="7"/>
  <c r="L90" i="7"/>
  <c r="M90" i="7" a="1"/>
  <c r="M90" i="7"/>
  <c r="L117" i="7"/>
  <c r="M117" i="7" a="1"/>
  <c r="M117" i="7"/>
  <c r="L25" i="7"/>
  <c r="M25" i="7" a="1"/>
  <c r="M25" i="7"/>
  <c r="M89" i="7" a="1"/>
  <c r="M89" i="7"/>
  <c r="L118" i="7"/>
  <c r="M118" i="7" a="1"/>
  <c r="M118" i="7"/>
  <c r="L14" i="7"/>
  <c r="M14" i="7" a="1"/>
  <c r="M14" i="7"/>
  <c r="L105" i="7"/>
  <c r="M105" i="7" a="1"/>
  <c r="M105" i="7"/>
  <c r="L63" i="7"/>
  <c r="M63" i="7" a="1"/>
  <c r="M63" i="7"/>
  <c r="L120" i="7"/>
  <c r="M120" i="7" a="1"/>
  <c r="M120" i="7"/>
  <c r="L33" i="7"/>
  <c r="M33" i="7" a="1"/>
  <c r="M33" i="7"/>
  <c r="L50" i="7"/>
  <c r="M50" i="7" a="1"/>
  <c r="M50" i="7"/>
  <c r="L111" i="7"/>
  <c r="M111" i="7" a="1"/>
  <c r="M111" i="7"/>
  <c r="L52" i="7"/>
  <c r="M52" i="7" a="1"/>
  <c r="M52" i="7"/>
  <c r="M97" i="7" a="1"/>
  <c r="M97" i="7"/>
  <c r="L30" i="7"/>
  <c r="M30" i="7" a="1"/>
  <c r="M30" i="7"/>
  <c r="L76" i="7"/>
  <c r="M76" i="7" a="1"/>
  <c r="M76" i="7"/>
  <c r="L61" i="7"/>
  <c r="M61" i="7" a="1"/>
  <c r="M61" i="7"/>
  <c r="L77" i="7"/>
  <c r="M77" i="7" a="1"/>
  <c r="M77" i="7"/>
  <c r="L15" i="7"/>
  <c r="M15" i="7" a="1"/>
  <c r="M15" i="7"/>
  <c r="M100" i="7" a="1"/>
  <c r="M100" i="7"/>
  <c r="L43" i="7"/>
  <c r="M43" i="7" a="1"/>
  <c r="M43" i="7"/>
  <c r="L41" i="7"/>
  <c r="M41" i="7" a="1"/>
  <c r="M41" i="7"/>
  <c r="L11" i="7"/>
  <c r="M11" i="7" a="1"/>
  <c r="M11" i="7"/>
  <c r="L28" i="7"/>
  <c r="M28" i="7" a="1"/>
  <c r="M28" i="7"/>
  <c r="L102" i="7"/>
  <c r="M102" i="7" a="1"/>
  <c r="M102" i="7"/>
  <c r="L44" i="7"/>
  <c r="M44" i="7" a="1"/>
  <c r="M44" i="7"/>
  <c r="L47" i="7"/>
  <c r="M47" i="7" a="1"/>
  <c r="M47" i="7"/>
  <c r="L38" i="7"/>
  <c r="M38" i="7" a="1"/>
  <c r="M38" i="7"/>
  <c r="M68" i="7" a="1"/>
  <c r="M68" i="7"/>
  <c r="L109" i="7"/>
  <c r="M109" i="7" a="1"/>
  <c r="M109" i="7"/>
  <c r="L56" i="7"/>
  <c r="M56" i="7" a="1"/>
  <c r="M56" i="7"/>
  <c r="M65" i="7" a="1"/>
  <c r="M65" i="7"/>
  <c r="L19" i="7"/>
  <c r="M19" i="7" a="1"/>
  <c r="M19" i="7"/>
  <c r="L48" i="7"/>
  <c r="M48" i="7" a="1"/>
  <c r="M48" i="7"/>
  <c r="L32" i="7"/>
  <c r="M32" i="7" a="1"/>
  <c r="M32" i="7"/>
  <c r="L3" i="7"/>
  <c r="M3" i="7" a="1"/>
  <c r="M3" i="7"/>
  <c r="L53" i="7"/>
  <c r="M53" i="7" a="1"/>
  <c r="M53" i="7"/>
  <c r="L69" i="7"/>
  <c r="M69" i="7" a="1"/>
  <c r="M69" i="7"/>
  <c r="M91" i="7" a="1"/>
  <c r="M91" i="7"/>
  <c r="L20" i="7"/>
  <c r="M20" i="7" a="1"/>
  <c r="M20" i="7"/>
  <c r="L37" i="7"/>
  <c r="M37" i="7" a="1"/>
  <c r="M37" i="7"/>
  <c r="L7" i="7"/>
  <c r="M7" i="7" a="1"/>
  <c r="M7" i="7"/>
  <c r="L73" i="7"/>
  <c r="M73" i="7" a="1"/>
  <c r="M73" i="7"/>
  <c r="L59" i="7"/>
  <c r="M59" i="7" a="1"/>
  <c r="M59" i="7"/>
  <c r="L71" i="7"/>
  <c r="M71" i="7" a="1"/>
  <c r="M71" i="7"/>
  <c r="L108" i="7"/>
  <c r="M108" i="7" a="1"/>
  <c r="M108" i="7"/>
  <c r="B92" i="1"/>
  <c r="D100" i="1"/>
  <c r="B100" i="1"/>
  <c r="B20" i="1"/>
  <c r="B99" i="1"/>
  <c r="B98" i="1"/>
  <c r="D92" i="1"/>
  <c r="B94" i="1"/>
  <c r="B93" i="1"/>
  <c r="B109" i="1"/>
  <c r="D20" i="1"/>
  <c r="B87" i="1"/>
  <c r="B86" i="1"/>
  <c r="D99" i="1"/>
  <c r="D98" i="1"/>
  <c r="D93" i="1"/>
  <c r="D94" i="1"/>
  <c r="D109" i="1"/>
  <c r="D87" i="1"/>
  <c r="D86" i="1"/>
  <c r="M57" i="7" a="1"/>
  <c r="M5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<sst xmlns="http://schemas.openxmlformats.org/spreadsheetml/2006/main" count="5445" uniqueCount="970">
  <si>
    <t>Anta'Veon McKenzie</t>
  </si>
  <si>
    <t>Xavier Williams</t>
  </si>
  <si>
    <t>Fata Puloka</t>
  </si>
  <si>
    <t>Hunter Boeddeker</t>
  </si>
  <si>
    <t>Alex Rocha</t>
  </si>
  <si>
    <t>Onterrio Smith</t>
  </si>
  <si>
    <t>Elias Mullican</t>
  </si>
  <si>
    <t>Jordan Anderson</t>
  </si>
  <si>
    <t>Jason Oliver</t>
  </si>
  <si>
    <t>Lamont Johnson-Burrell</t>
  </si>
  <si>
    <t>Jace Wilson</t>
  </si>
  <si>
    <t>Lono Chouteau</t>
  </si>
  <si>
    <t>Drey Garner</t>
  </si>
  <si>
    <t>Trey Bass</t>
  </si>
  <si>
    <t>Hayden Anderson</t>
  </si>
  <si>
    <t>Tim Conerly</t>
  </si>
  <si>
    <t>Gavin Thomson</t>
  </si>
  <si>
    <t>Ricky Lee</t>
  </si>
  <si>
    <t>Oscar Moore</t>
  </si>
  <si>
    <t>Jaxon Fresques</t>
  </si>
  <si>
    <t>Kaleb Higgins</t>
  </si>
  <si>
    <t>DeJuan Butler</t>
  </si>
  <si>
    <t>Damien McDaniel</t>
  </si>
  <si>
    <t>Jalen Williams</t>
  </si>
  <si>
    <t>Koa Akui</t>
  </si>
  <si>
    <t>Adam Taylor</t>
  </si>
  <si>
    <t>Jayden Robinson</t>
  </si>
  <si>
    <t>Yebrell Emerson</t>
  </si>
  <si>
    <t>Pita Vi</t>
  </si>
  <si>
    <t>Deven Wright</t>
  </si>
  <si>
    <t>Cardell Williams</t>
  </si>
  <si>
    <t>Rodney Hammond</t>
  </si>
  <si>
    <t>Sammy Norris</t>
  </si>
  <si>
    <t>Jordan Atkinson</t>
  </si>
  <si>
    <t>Jamar Malone</t>
  </si>
  <si>
    <t>Elijah Huddle</t>
  </si>
  <si>
    <t>Adam Johnston</t>
  </si>
  <si>
    <t>Connor McDowell</t>
  </si>
  <si>
    <t>Brennon Scott</t>
  </si>
  <si>
    <t>Grant Meadors</t>
  </si>
  <si>
    <t>Cal McGough</t>
  </si>
  <si>
    <t>Jamar Curtis</t>
  </si>
  <si>
    <t>Mike Melanson</t>
  </si>
  <si>
    <t>Joseph Firebaugh</t>
  </si>
  <si>
    <t>Jordan Williams</t>
  </si>
  <si>
    <t>Josh Cashiola</t>
  </si>
  <si>
    <t>Ajon Bryant</t>
  </si>
  <si>
    <t>Diego Davis</t>
  </si>
  <si>
    <t xml:space="preserve">Sam Adams </t>
  </si>
  <si>
    <t>Brandon Sousa</t>
  </si>
  <si>
    <t>Giovanni Kovacs</t>
  </si>
  <si>
    <t>Elijah Ortiz</t>
  </si>
  <si>
    <t>Richard McKay</t>
  </si>
  <si>
    <t>Kenndel Riley</t>
  </si>
  <si>
    <t>Bryson Summers</t>
  </si>
  <si>
    <t>Aidan Meek</t>
  </si>
  <si>
    <t>Sawyer Hays</t>
  </si>
  <si>
    <t>Davis May</t>
  </si>
  <si>
    <t>Luke Slater</t>
  </si>
  <si>
    <t>DeSean Watts</t>
  </si>
  <si>
    <t>Miles Bailey</t>
  </si>
  <si>
    <t>Jordan Jefferson</t>
  </si>
  <si>
    <t>Melvin Swindle</t>
  </si>
  <si>
    <t>Cade Gretlein</t>
  </si>
  <si>
    <t>Jose Soto</t>
  </si>
  <si>
    <t>Jayland McGlothen</t>
  </si>
  <si>
    <t>Dean Abdullah</t>
  </si>
  <si>
    <t>Kris Ross</t>
  </si>
  <si>
    <t>Derek Houston</t>
  </si>
  <si>
    <t>Jojo Solis</t>
  </si>
  <si>
    <t>Davis Ambuehl</t>
  </si>
  <si>
    <t>Curron Borders</t>
  </si>
  <si>
    <t>Brodie Tagaloa</t>
  </si>
  <si>
    <t>VALD</t>
  </si>
  <si>
    <t>Position</t>
  </si>
  <si>
    <t>Ricky</t>
  </si>
  <si>
    <t>Lee</t>
  </si>
  <si>
    <t>DB</t>
  </si>
  <si>
    <t>Savion</t>
  </si>
  <si>
    <t>Red</t>
  </si>
  <si>
    <t>RB</t>
  </si>
  <si>
    <t>Hall</t>
  </si>
  <si>
    <t>Jamar</t>
  </si>
  <si>
    <t>Curtis</t>
  </si>
  <si>
    <t>Rodney</t>
  </si>
  <si>
    <t>Hammond</t>
  </si>
  <si>
    <t>Deven</t>
  </si>
  <si>
    <t>Wright</t>
  </si>
  <si>
    <t>DL</t>
  </si>
  <si>
    <t>Brodie</t>
  </si>
  <si>
    <t>Tagaloa</t>
  </si>
  <si>
    <t>Jordan</t>
  </si>
  <si>
    <t>Anderson</t>
  </si>
  <si>
    <t>WR</t>
  </si>
  <si>
    <t>Damian</t>
  </si>
  <si>
    <t>Henderson</t>
  </si>
  <si>
    <t>Diesel</t>
  </si>
  <si>
    <t>Gordon</t>
  </si>
  <si>
    <t>Rashada</t>
  </si>
  <si>
    <t>QB</t>
  </si>
  <si>
    <t>Oscar</t>
  </si>
  <si>
    <t>Moore</t>
  </si>
  <si>
    <t>Smith</t>
  </si>
  <si>
    <t>Malone</t>
  </si>
  <si>
    <t>Cardell</t>
  </si>
  <si>
    <t>Williams</t>
  </si>
  <si>
    <t>Jalen</t>
  </si>
  <si>
    <t>Tim</t>
  </si>
  <si>
    <t>Conerly</t>
  </si>
  <si>
    <t>Kris</t>
  </si>
  <si>
    <t>Ross</t>
  </si>
  <si>
    <t>Damien</t>
  </si>
  <si>
    <t>McDaniel</t>
  </si>
  <si>
    <t>Malik</t>
  </si>
  <si>
    <t>Tullis</t>
  </si>
  <si>
    <t>Jace</t>
  </si>
  <si>
    <t>Wilson</t>
  </si>
  <si>
    <t>Robinson</t>
  </si>
  <si>
    <t>Gavin</t>
  </si>
  <si>
    <t>Thomson</t>
  </si>
  <si>
    <t>Jamal</t>
  </si>
  <si>
    <t>Hood</t>
  </si>
  <si>
    <t>Jason</t>
  </si>
  <si>
    <t>Oliver</t>
  </si>
  <si>
    <t>Onterrio</t>
  </si>
  <si>
    <t>Ernest</t>
  </si>
  <si>
    <t>Campbell</t>
  </si>
  <si>
    <t>Yebrell</t>
  </si>
  <si>
    <t>Emerson</t>
  </si>
  <si>
    <t>Brennon</t>
  </si>
  <si>
    <t>Scott</t>
  </si>
  <si>
    <t>Curron</t>
  </si>
  <si>
    <t>Borders</t>
  </si>
  <si>
    <t>Drey</t>
  </si>
  <si>
    <t>Garner</t>
  </si>
  <si>
    <t>Jekob</t>
  </si>
  <si>
    <t>Jones</t>
  </si>
  <si>
    <t>Kaleb</t>
  </si>
  <si>
    <t>Higgins</t>
  </si>
  <si>
    <t>TE</t>
  </si>
  <si>
    <t>Ajon</t>
  </si>
  <si>
    <t>Bryant</t>
  </si>
  <si>
    <t>Anta'Veon</t>
  </si>
  <si>
    <t>McKenzie</t>
  </si>
  <si>
    <t>Fata</t>
  </si>
  <si>
    <t>Puloka</t>
  </si>
  <si>
    <t>Tye</t>
  </si>
  <si>
    <t>Nickens</t>
  </si>
  <si>
    <t>Josh</t>
  </si>
  <si>
    <t>Cashiola</t>
  </si>
  <si>
    <t>Logan</t>
  </si>
  <si>
    <t>Tanner</t>
  </si>
  <si>
    <t>Adam</t>
  </si>
  <si>
    <t>Taylor</t>
  </si>
  <si>
    <t>Dejuan</t>
  </si>
  <si>
    <t>Butler</t>
  </si>
  <si>
    <t>Hayden</t>
  </si>
  <si>
    <t>Elias</t>
  </si>
  <si>
    <t>Mullican</t>
  </si>
  <si>
    <t>Jaquail</t>
  </si>
  <si>
    <t>Lamont</t>
  </si>
  <si>
    <t>Johnson-Burrell</t>
  </si>
  <si>
    <t>Brown</t>
  </si>
  <si>
    <t>Lono</t>
  </si>
  <si>
    <t>Chouteau</t>
  </si>
  <si>
    <t>Mitchell</t>
  </si>
  <si>
    <t>Mike</t>
  </si>
  <si>
    <t>Sam</t>
  </si>
  <si>
    <t>Adams</t>
  </si>
  <si>
    <t>Jefferson</t>
  </si>
  <si>
    <t>Koa</t>
  </si>
  <si>
    <t>Akui</t>
  </si>
  <si>
    <t>Pita</t>
  </si>
  <si>
    <t>Vi</t>
  </si>
  <si>
    <t>Jackson</t>
  </si>
  <si>
    <t>Cahoon</t>
  </si>
  <si>
    <t>Matthew</t>
  </si>
  <si>
    <t>Eskridge</t>
  </si>
  <si>
    <t>Alex</t>
  </si>
  <si>
    <t>Rocha</t>
  </si>
  <si>
    <t>Dylan</t>
  </si>
  <si>
    <t>Gooden</t>
  </si>
  <si>
    <t>Hunter</t>
  </si>
  <si>
    <t>Boeddeker</t>
  </si>
  <si>
    <t>Diego</t>
  </si>
  <si>
    <t>Davis</t>
  </si>
  <si>
    <t>Connor</t>
  </si>
  <si>
    <t>McDowell</t>
  </si>
  <si>
    <t>LS</t>
  </si>
  <si>
    <t>Sammy</t>
  </si>
  <si>
    <t>Norris</t>
  </si>
  <si>
    <t>Derek</t>
  </si>
  <si>
    <t>Houston</t>
  </si>
  <si>
    <t>Caleb</t>
  </si>
  <si>
    <t>Reese</t>
  </si>
  <si>
    <t>Atkinson</t>
  </si>
  <si>
    <t>Xavier</t>
  </si>
  <si>
    <t>Johnston</t>
  </si>
  <si>
    <t>Jojo</t>
  </si>
  <si>
    <t>Solis</t>
  </si>
  <si>
    <t>Grant</t>
  </si>
  <si>
    <t>Meadors</t>
  </si>
  <si>
    <t>K</t>
  </si>
  <si>
    <t>Joseph</t>
  </si>
  <si>
    <t>Speno</t>
  </si>
  <si>
    <t>OL</t>
  </si>
  <si>
    <t>Dean</t>
  </si>
  <si>
    <t>Abdullah</t>
  </si>
  <si>
    <t>Elijah</t>
  </si>
  <si>
    <t>Ortiz</t>
  </si>
  <si>
    <t>Miles</t>
  </si>
  <si>
    <t>Bailey</t>
  </si>
  <si>
    <t>Hampsten</t>
  </si>
  <si>
    <t>Jayland</t>
  </si>
  <si>
    <t>McGlothen</t>
  </si>
  <si>
    <t>DeSean</t>
  </si>
  <si>
    <t>Watts</t>
  </si>
  <si>
    <t>Kenndel</t>
  </si>
  <si>
    <t>Riley</t>
  </si>
  <si>
    <t>Graysen</t>
  </si>
  <si>
    <t>Brandon</t>
  </si>
  <si>
    <t>Sousa</t>
  </si>
  <si>
    <t>Cade</t>
  </si>
  <si>
    <t>Gretlein</t>
  </si>
  <si>
    <t>Giovanni</t>
  </si>
  <si>
    <t>Kovacs</t>
  </si>
  <si>
    <t>Luke</t>
  </si>
  <si>
    <t>Slater</t>
  </si>
  <si>
    <t>May</t>
  </si>
  <si>
    <t>Jaxon</t>
  </si>
  <si>
    <t>Bryson</t>
  </si>
  <si>
    <t>Summers</t>
  </si>
  <si>
    <t>Sawyer</t>
  </si>
  <si>
    <t>Hays</t>
  </si>
  <si>
    <t>Jose</t>
  </si>
  <si>
    <t>Soto</t>
  </si>
  <si>
    <t>Aidan</t>
  </si>
  <si>
    <t>Meek</t>
  </si>
  <si>
    <t>DeAnthony</t>
  </si>
  <si>
    <t>Sheffield</t>
  </si>
  <si>
    <t>Jeremiah</t>
  </si>
  <si>
    <t>Stallworth</t>
  </si>
  <si>
    <t>Richard</t>
  </si>
  <si>
    <t>McKay</t>
  </si>
  <si>
    <t>Herman</t>
  </si>
  <si>
    <t>Trey</t>
  </si>
  <si>
    <t>Bass</t>
  </si>
  <si>
    <t>Tre</t>
  </si>
  <si>
    <t>Fernandez</t>
  </si>
  <si>
    <t>Fresques</t>
  </si>
  <si>
    <t>Dontae</t>
  </si>
  <si>
    <t>Huddle</t>
  </si>
  <si>
    <t>Ambuehl</t>
  </si>
  <si>
    <t>Nelson</t>
  </si>
  <si>
    <t>Bear</t>
  </si>
  <si>
    <t>Tenney</t>
  </si>
  <si>
    <t>Syncere</t>
  </si>
  <si>
    <t>Massey</t>
  </si>
  <si>
    <t>James</t>
  </si>
  <si>
    <t>Gillespie</t>
  </si>
  <si>
    <t>Cal</t>
  </si>
  <si>
    <t>McGough</t>
  </si>
  <si>
    <t>P</t>
  </si>
  <si>
    <t>Malachi</t>
  </si>
  <si>
    <t>Kindle</t>
  </si>
  <si>
    <t>Micah</t>
  </si>
  <si>
    <t>Mosley</t>
  </si>
  <si>
    <t>Melvin</t>
  </si>
  <si>
    <t>Swindle</t>
  </si>
  <si>
    <t>Firebaugh</t>
  </si>
  <si>
    <t>Savion Red</t>
  </si>
  <si>
    <t>Agiye Hall</t>
  </si>
  <si>
    <t>Damian Henderson</t>
  </si>
  <si>
    <t>Diesel Gordon</t>
  </si>
  <si>
    <t>Malik Tullis</t>
  </si>
  <si>
    <t>Jamal Hood</t>
  </si>
  <si>
    <t>Ernest Campbell</t>
  </si>
  <si>
    <t>Mikey Henderson</t>
  </si>
  <si>
    <t>Jekob Jones</t>
  </si>
  <si>
    <t>Tye Nickens</t>
  </si>
  <si>
    <t>Logan Tanner</t>
  </si>
  <si>
    <t>Dejuan Butler</t>
  </si>
  <si>
    <t>Jaquail Smith</t>
  </si>
  <si>
    <t>Elias Brown</t>
  </si>
  <si>
    <t>Naytell Mitchell</t>
  </si>
  <si>
    <t>Mike Taylor</t>
  </si>
  <si>
    <t>Sam Adams</t>
  </si>
  <si>
    <t>Jackson Cahoon</t>
  </si>
  <si>
    <t>Matthew Eskridge</t>
  </si>
  <si>
    <t>Dylan Gooden</t>
  </si>
  <si>
    <t>Caleb Reese</t>
  </si>
  <si>
    <t>Joseph Speno</t>
  </si>
  <si>
    <t>Dylan Hampsten</t>
  </si>
  <si>
    <t>Graysen Lee</t>
  </si>
  <si>
    <t>Jaxon Moore</t>
  </si>
  <si>
    <t>DeAnthony Sheffield</t>
  </si>
  <si>
    <t>Jeremiah Stallworth</t>
  </si>
  <si>
    <t>Jordan Herman</t>
  </si>
  <si>
    <t>Tre Fernandez</t>
  </si>
  <si>
    <t>Dontae Robinson</t>
  </si>
  <si>
    <t>Gavin Nelson</t>
  </si>
  <si>
    <t>Bear Tenney</t>
  </si>
  <si>
    <t>Syncere Massey</t>
  </si>
  <si>
    <t>James Gillespie</t>
  </si>
  <si>
    <t>Malachi Kindle</t>
  </si>
  <si>
    <t>Micah Mosley</t>
  </si>
  <si>
    <t>Nash Burkart</t>
  </si>
  <si>
    <t xml:space="preserve"> </t>
  </si>
  <si>
    <t>Kinexon</t>
  </si>
  <si>
    <t>2025 Football Roster</t>
  </si>
  <si>
    <t>No.</t>
  </si>
  <si>
    <t>Name</t>
  </si>
  <si>
    <t>Pos.</t>
  </si>
  <si>
    <t>Ht.</t>
  </si>
  <si>
    <t>Wt.</t>
  </si>
  <si>
    <t>Yr.</t>
  </si>
  <si>
    <t>Exp.</t>
  </si>
  <si>
    <t>Hometown</t>
  </si>
  <si>
    <t>High School</t>
  </si>
  <si>
    <t>Previous School</t>
  </si>
  <si>
    <t>Ricky Lee III</t>
  </si>
  <si>
    <t>CB</t>
  </si>
  <si>
    <t>So.</t>
  </si>
  <si>
    <t>TR</t>
  </si>
  <si>
    <t>Atlanta, Ga.</t>
  </si>
  <si>
    <t>Cedar Grove HS</t>
  </si>
  <si>
    <t>UAB</t>
  </si>
  <si>
    <t>Sr.</t>
  </si>
  <si>
    <t>Grand Prairie, Texas</t>
  </si>
  <si>
    <t>Grand Prairie HS</t>
  </si>
  <si>
    <t>Nevada</t>
  </si>
  <si>
    <t>Waldorf, Md.</t>
  </si>
  <si>
    <t>St. John's College HS</t>
  </si>
  <si>
    <t>Lafayette</t>
  </si>
  <si>
    <t>Rodney Hammond, Jr.</t>
  </si>
  <si>
    <t>Norfolk, Va.</t>
  </si>
  <si>
    <t>Booker T. Washington HS</t>
  </si>
  <si>
    <t>Pittsburgh</t>
  </si>
  <si>
    <t>OLB</t>
  </si>
  <si>
    <t>R-Sr.</t>
  </si>
  <si>
    <t>Southaven, Miss.</t>
  </si>
  <si>
    <t>DeSoto Central HS</t>
  </si>
  <si>
    <t>Texas State</t>
  </si>
  <si>
    <t>R-Fr.</t>
  </si>
  <si>
    <t>Inglewood, Calif.</t>
  </si>
  <si>
    <t>Newport Harbor HS</t>
  </si>
  <si>
    <t>Oregon State</t>
  </si>
  <si>
    <t>Jr.</t>
  </si>
  <si>
    <t>Pittsburg, Calif.</t>
  </si>
  <si>
    <t>De La Salle HS</t>
  </si>
  <si>
    <t>Nebraska</t>
  </si>
  <si>
    <t>S</t>
  </si>
  <si>
    <t>R-So.</t>
  </si>
  <si>
    <t>JC</t>
  </si>
  <si>
    <t>Arlington, Texas</t>
  </si>
  <si>
    <t>Seguin HS</t>
  </si>
  <si>
    <t>Butler JC</t>
  </si>
  <si>
    <t>Damian Henderson II</t>
  </si>
  <si>
    <t>Compton, Calif.</t>
  </si>
  <si>
    <t>Los Alamitos HS</t>
  </si>
  <si>
    <t>Colorado State</t>
  </si>
  <si>
    <t>Fort Worth, Texas</t>
  </si>
  <si>
    <t>Eaton HS</t>
  </si>
  <si>
    <t>UTEP</t>
  </si>
  <si>
    <t>Jaden Rashada</t>
  </si>
  <si>
    <t>Pittsburg HS</t>
  </si>
  <si>
    <t>Georgia</t>
  </si>
  <si>
    <t>Fr.</t>
  </si>
  <si>
    <t>HS</t>
  </si>
  <si>
    <t>Los Angeles, Calif.</t>
  </si>
  <si>
    <t>Warren HS</t>
  </si>
  <si>
    <t>Warren Smith, Jr.</t>
  </si>
  <si>
    <t>Richmond, Calif.</t>
  </si>
  <si>
    <t>El Cerrito HS</t>
  </si>
  <si>
    <t>Washington State</t>
  </si>
  <si>
    <t>Houston, Texas</t>
  </si>
  <si>
    <t>Westfield HS</t>
  </si>
  <si>
    <t>Tulsa</t>
  </si>
  <si>
    <t>1V</t>
  </si>
  <si>
    <t>Lancaster, Calif.</t>
  </si>
  <si>
    <t>Paraclete HS</t>
  </si>
  <si>
    <t>Fresno State</t>
  </si>
  <si>
    <t>New Orleans, La.</t>
  </si>
  <si>
    <t>Wright Charter HS</t>
  </si>
  <si>
    <t>UNLV</t>
  </si>
  <si>
    <t>North Shore HS</t>
  </si>
  <si>
    <t>Hitchcock, Texas</t>
  </si>
  <si>
    <t>Hitchcock HS</t>
  </si>
  <si>
    <t>Fairburn, Ga.</t>
  </si>
  <si>
    <t>Creekside HS</t>
  </si>
  <si>
    <t>Eastern Michigan</t>
  </si>
  <si>
    <t>Suisun City, Calif.</t>
  </si>
  <si>
    <t>Vanden HS</t>
  </si>
  <si>
    <t>Foothill JC</t>
  </si>
  <si>
    <t>Denton, Texas</t>
  </si>
  <si>
    <t>Guyer HS</t>
  </si>
  <si>
    <t>UTSA</t>
  </si>
  <si>
    <t>Kettering, Md.</t>
  </si>
  <si>
    <t>St. Francis HS</t>
  </si>
  <si>
    <t>Highlands CC</t>
  </si>
  <si>
    <t>Allison Park, Pa.</t>
  </si>
  <si>
    <t>Central Catholic HS</t>
  </si>
  <si>
    <t>Saint Francis</t>
  </si>
  <si>
    <t>2V</t>
  </si>
  <si>
    <t>Bakersfield, Calif.</t>
  </si>
  <si>
    <t>Liberty HS</t>
  </si>
  <si>
    <t>Colorado</t>
  </si>
  <si>
    <t>Onterrio Smith, Jr.</t>
  </si>
  <si>
    <t>Sacramento, Calif.</t>
  </si>
  <si>
    <t>Folsom HS</t>
  </si>
  <si>
    <t>Refugio, Texas</t>
  </si>
  <si>
    <t>Refugio HS</t>
  </si>
  <si>
    <t>Texas A&amp;M</t>
  </si>
  <si>
    <t>RS</t>
  </si>
  <si>
    <t>Fresno, Calif.</t>
  </si>
  <si>
    <t>Central HS</t>
  </si>
  <si>
    <t>Fresno City JC</t>
  </si>
  <si>
    <t>Antelope HS</t>
  </si>
  <si>
    <t>San Diego, Calif.</t>
  </si>
  <si>
    <t>University City HS</t>
  </si>
  <si>
    <t>Lancaster, Texas</t>
  </si>
  <si>
    <t>Bishop Dunne HS</t>
  </si>
  <si>
    <t>St. Louis, Mo.</t>
  </si>
  <si>
    <t>Ranchview HS</t>
  </si>
  <si>
    <t>Tarleton State</t>
  </si>
  <si>
    <t>ILB</t>
  </si>
  <si>
    <t>Cal Poly</t>
  </si>
  <si>
    <t>Austin, Texas</t>
  </si>
  <si>
    <t>Riverside, Calif.</t>
  </si>
  <si>
    <t>St. Paul HS</t>
  </si>
  <si>
    <t>Santa Ana, Calif.</t>
  </si>
  <si>
    <t>Mater Dei HS</t>
  </si>
  <si>
    <t>Stockton, Calif.</t>
  </si>
  <si>
    <t>Edison HS</t>
  </si>
  <si>
    <t>Petaluma, Calif.</t>
  </si>
  <si>
    <t>St. Vincent DePaul HS</t>
  </si>
  <si>
    <t>Monterey Trail HS</t>
  </si>
  <si>
    <t>Strake Jesuit Prep</t>
  </si>
  <si>
    <t>St. Pius X HS</t>
  </si>
  <si>
    <t>San Diego State</t>
  </si>
  <si>
    <t>St. Mary's HS</t>
  </si>
  <si>
    <t>Windsor, Calif.</t>
  </si>
  <si>
    <t>Windsor HS</t>
  </si>
  <si>
    <t>Gr.</t>
  </si>
  <si>
    <t>Antioch, Calif.</t>
  </si>
  <si>
    <t>Antioch HS</t>
  </si>
  <si>
    <t>Rocklin, Calif.</t>
  </si>
  <si>
    <t>Rocklin HS</t>
  </si>
  <si>
    <t>Orlando, Fla.</t>
  </si>
  <si>
    <t>Jones HS</t>
  </si>
  <si>
    <t>Antelope, Calif.</t>
  </si>
  <si>
    <t>American River JC</t>
  </si>
  <si>
    <t>Sacramento HS</t>
  </si>
  <si>
    <t>Inderkum HS</t>
  </si>
  <si>
    <t>Naytel Mitchell</t>
  </si>
  <si>
    <t>Pittsburgh, Pa.</t>
  </si>
  <si>
    <t>Penn Hills HS</t>
  </si>
  <si>
    <t>East St. Louis, Ill.</t>
  </si>
  <si>
    <t>East St. Louis HS</t>
  </si>
  <si>
    <t>Sam Adams II</t>
  </si>
  <si>
    <t>Kirkland, Wash.</t>
  </si>
  <si>
    <t>Eastside Catholic HS</t>
  </si>
  <si>
    <t>Washington</t>
  </si>
  <si>
    <t>KJ Jefferson</t>
  </si>
  <si>
    <t>Lutheran North HS</t>
  </si>
  <si>
    <t>Hilo, Hawaii</t>
  </si>
  <si>
    <t>HIlo HS</t>
  </si>
  <si>
    <t>Elk Grove, Calif.</t>
  </si>
  <si>
    <t>Elk Grove HS</t>
  </si>
  <si>
    <t>San Mateo JC</t>
  </si>
  <si>
    <t>Mountain View, Calif.</t>
  </si>
  <si>
    <t>Matthew Eskridge II</t>
  </si>
  <si>
    <t>Las Vegas, Nev.</t>
  </si>
  <si>
    <t>Desert Pines HS</t>
  </si>
  <si>
    <t>Riverside JC</t>
  </si>
  <si>
    <t>Bakersfield HS</t>
  </si>
  <si>
    <t>Columbia, Md.</t>
  </si>
  <si>
    <t>Good Counsel HS</t>
  </si>
  <si>
    <t>Maryland</t>
  </si>
  <si>
    <t>Santa Barbara, Calif.</t>
  </si>
  <si>
    <t>Bishop Diego HS</t>
  </si>
  <si>
    <t>Loyola HS</t>
  </si>
  <si>
    <t>Angelo State</t>
  </si>
  <si>
    <t>FB</t>
  </si>
  <si>
    <t>Centennial HS</t>
  </si>
  <si>
    <t>Oceanside, Calif.</t>
  </si>
  <si>
    <t>San Marcos HS</t>
  </si>
  <si>
    <t>Dallas, Texas</t>
  </si>
  <si>
    <t>South Oak Cliff HS</t>
  </si>
  <si>
    <t>Napa, Calif.</t>
  </si>
  <si>
    <t>Vintage HS</t>
  </si>
  <si>
    <t>Santa Rosa JC</t>
  </si>
  <si>
    <t>Gustine, Calif.</t>
  </si>
  <si>
    <t>Atwater HS</t>
  </si>
  <si>
    <t>Ripon, Calif.</t>
  </si>
  <si>
    <t>Ripon HS</t>
  </si>
  <si>
    <t>Modesto JC</t>
  </si>
  <si>
    <t>Adelanto, Calif.</t>
  </si>
  <si>
    <t>Aquinas HS</t>
  </si>
  <si>
    <t>Oregon</t>
  </si>
  <si>
    <t>San Jose, Calif.</t>
  </si>
  <si>
    <t>Pioneer HS</t>
  </si>
  <si>
    <t>Union City, Calif.</t>
  </si>
  <si>
    <t>James Logan HS</t>
  </si>
  <si>
    <t>Laney JC</t>
  </si>
  <si>
    <t>Vallejo, Calif.</t>
  </si>
  <si>
    <t>Benicia HS</t>
  </si>
  <si>
    <t>Murray State</t>
  </si>
  <si>
    <t>Santa Clarita, Calif.</t>
  </si>
  <si>
    <t>Oaks Christian HS</t>
  </si>
  <si>
    <t>San Jose State</t>
  </si>
  <si>
    <t>Silverado HS</t>
  </si>
  <si>
    <t>Clovis West HS</t>
  </si>
  <si>
    <t>3V</t>
  </si>
  <si>
    <t>Lincoln, Calif.</t>
  </si>
  <si>
    <t>Capital Christian HS</t>
  </si>
  <si>
    <t>Frontier HS</t>
  </si>
  <si>
    <t>Las Vegas HS</t>
  </si>
  <si>
    <t>Sequioas JC</t>
  </si>
  <si>
    <t>Pleasanton, Calif.</t>
  </si>
  <si>
    <t>Foothill HS</t>
  </si>
  <si>
    <t>Amador Valley HS</t>
  </si>
  <si>
    <t>Bellevue, Wash.</t>
  </si>
  <si>
    <t>Newport HS</t>
  </si>
  <si>
    <t>Garces Memorial HS</t>
  </si>
  <si>
    <t>Roseville, Calif.</t>
  </si>
  <si>
    <t>West Park HS</t>
  </si>
  <si>
    <t>El Dorado Hills, Calif.</t>
  </si>
  <si>
    <t>Oak Ridge HS</t>
  </si>
  <si>
    <t>Coastal Carolina</t>
  </si>
  <si>
    <t>Christian Brothers HS</t>
  </si>
  <si>
    <t>Tulare, Calif.</t>
  </si>
  <si>
    <t>Tulare Western HS</t>
  </si>
  <si>
    <t>Dorsey HS</t>
  </si>
  <si>
    <t>LA Southwest JC</t>
  </si>
  <si>
    <t>Palo Alto, Calif.</t>
  </si>
  <si>
    <t>Palo Alto HS</t>
  </si>
  <si>
    <t>Clayton Valley Charter HS</t>
  </si>
  <si>
    <t>R-Jr.</t>
  </si>
  <si>
    <t>Fort Mill, S.C.</t>
  </si>
  <si>
    <t>Fort Mill HS</t>
  </si>
  <si>
    <t>Charlotte</t>
  </si>
  <si>
    <t>Sherman Oaks, Calif.</t>
  </si>
  <si>
    <t>Notre Dame HS</t>
  </si>
  <si>
    <t>Layton, Utah</t>
  </si>
  <si>
    <t>Northridge HS</t>
  </si>
  <si>
    <t>Tacoma, Wash.</t>
  </si>
  <si>
    <t>North Hardin HS</t>
  </si>
  <si>
    <t>Sierra JC</t>
  </si>
  <si>
    <t>Citrus Heights, Calif.</t>
  </si>
  <si>
    <t>Casa Roble HS</t>
  </si>
  <si>
    <t>Palisades Charter HS</t>
  </si>
  <si>
    <t>Clovis, Calif.</t>
  </si>
  <si>
    <t>Buchanan HS</t>
  </si>
  <si>
    <t>Gilbert, Ariz.</t>
  </si>
  <si>
    <t>Lone Peak HS</t>
  </si>
  <si>
    <t>Cedar Hill, Texas</t>
  </si>
  <si>
    <t>Cedar Hill HS</t>
  </si>
  <si>
    <t>Texas Southern</t>
  </si>
  <si>
    <t>Woodbridge, Va.</t>
  </si>
  <si>
    <t>Bishop Ireton HS</t>
  </si>
  <si>
    <t>Middle Tennessee</t>
  </si>
  <si>
    <t>Geelong, Australia</t>
  </si>
  <si>
    <t>St. Joseph’s College</t>
  </si>
  <si>
    <t>Navasota, Texas</t>
  </si>
  <si>
    <t>Navasota HS</t>
  </si>
  <si>
    <t>Kilgore JC</t>
  </si>
  <si>
    <t>Cathedral HS</t>
  </si>
  <si>
    <t>Valley Christian HS</t>
  </si>
  <si>
    <t>Melvin Swindle II</t>
  </si>
  <si>
    <t>Oklahoma City, Okla.</t>
  </si>
  <si>
    <t>Heritage Hall HS</t>
  </si>
  <si>
    <t>Otay Ranch HS</t>
  </si>
  <si>
    <t>UCLA</t>
  </si>
  <si>
    <t>Offical Id</t>
  </si>
  <si>
    <t>Simple Name</t>
  </si>
  <si>
    <t>remove from kinexon</t>
  </si>
  <si>
    <t>Warren Smith</t>
  </si>
  <si>
    <t>Michael Johnson</t>
  </si>
  <si>
    <t>removed from kinexon</t>
  </si>
  <si>
    <t>Adams_Sam_25</t>
  </si>
  <si>
    <t>Eskridge_Matthew_25</t>
  </si>
  <si>
    <t>First Name</t>
  </si>
  <si>
    <t>Last Name</t>
  </si>
  <si>
    <t>Vald Name</t>
  </si>
  <si>
    <t>Vald_Roster Count</t>
  </si>
  <si>
    <t>Kinexon_Roster_Count</t>
  </si>
  <si>
    <t>Perch</t>
  </si>
  <si>
    <t>Melanson</t>
  </si>
  <si>
    <t>Naytel</t>
  </si>
  <si>
    <t>Perch Name</t>
  </si>
  <si>
    <t>Perch_Roster Count</t>
  </si>
  <si>
    <t>Roster Name</t>
  </si>
  <si>
    <t>Swindle_Melvin_25</t>
  </si>
  <si>
    <t>Lee_Ricky_25</t>
  </si>
  <si>
    <t>Red_Savion_25</t>
  </si>
  <si>
    <t>Curtis_Jamar_25</t>
  </si>
  <si>
    <t>Hammond_Rodney_25</t>
  </si>
  <si>
    <t>Wright_Deven_25</t>
  </si>
  <si>
    <t>Anderson_Jordan_25</t>
  </si>
  <si>
    <t>Tagaloa_Brodie_25</t>
  </si>
  <si>
    <t>Gordon_Diesel_25</t>
  </si>
  <si>
    <t>II_Damian_25</t>
  </si>
  <si>
    <t>Moore_Oscar_25</t>
  </si>
  <si>
    <t>Rashada_Jaden_25</t>
  </si>
  <si>
    <t>Malone_Jamar_25</t>
  </si>
  <si>
    <t>Smith_Warren_25</t>
  </si>
  <si>
    <t>Williams_Cardell_25</t>
  </si>
  <si>
    <t>Williams_Jalen_25</t>
  </si>
  <si>
    <t>Conerly_Tim_25</t>
  </si>
  <si>
    <t>Ross_Kris_25</t>
  </si>
  <si>
    <t>McDaniel_Damien_25</t>
  </si>
  <si>
    <t>Tullis_Malik_25</t>
  </si>
  <si>
    <t>Robinson_Jayden_25</t>
  </si>
  <si>
    <t>Wilson_Jace_25</t>
  </si>
  <si>
    <t>Hood_Jamal_25</t>
  </si>
  <si>
    <t>Thomson_Gavin_25</t>
  </si>
  <si>
    <t>Oliver_Jason_25</t>
  </si>
  <si>
    <t>Smith_Onterrio_25</t>
  </si>
  <si>
    <t>Campbell_Ernest_25</t>
  </si>
  <si>
    <t>Emerson_Yebrell_25</t>
  </si>
  <si>
    <t>Borders_Curron_25</t>
  </si>
  <si>
    <t>Garner_Drey_25</t>
  </si>
  <si>
    <t>Scott_Brennon_25</t>
  </si>
  <si>
    <t>Henderson_Mikey_25</t>
  </si>
  <si>
    <t>Jones_Jekob_25</t>
  </si>
  <si>
    <t>Higgins_Kaleb_25</t>
  </si>
  <si>
    <t>Williams_Jordan_25</t>
  </si>
  <si>
    <t>Bryant_Ajon_25</t>
  </si>
  <si>
    <t>McKenzie_Anta'Veon_25</t>
  </si>
  <si>
    <t>Nickens_Tye_25</t>
  </si>
  <si>
    <t>Puloka_Fata_25</t>
  </si>
  <si>
    <t>Cashiola_Josh_25</t>
  </si>
  <si>
    <t>Tanner_Logan_25</t>
  </si>
  <si>
    <t>Taylor_Adam_25</t>
  </si>
  <si>
    <t>Anderson_Hayden_25</t>
  </si>
  <si>
    <t>Butler_Dejuan_25</t>
  </si>
  <si>
    <t>Mullican_Elias_25</t>
  </si>
  <si>
    <t>Smith_Jaquail_25</t>
  </si>
  <si>
    <t>Brown_Elias_25</t>
  </si>
  <si>
    <t>Johnson-Burrell_Lamont_25</t>
  </si>
  <si>
    <t>Chouteau_Lono_25</t>
  </si>
  <si>
    <t>Mitchell_Naytel_25</t>
  </si>
  <si>
    <t>Taylor_Mike_25</t>
  </si>
  <si>
    <t>Jefferson_KJ_25</t>
  </si>
  <si>
    <t>Akui_Koa_25</t>
  </si>
  <si>
    <t>Vi_Pita_25</t>
  </si>
  <si>
    <t>Cahoon_Jackson_25</t>
  </si>
  <si>
    <t>Rocha_Alex_25</t>
  </si>
  <si>
    <t>Gooden_Dylan_25</t>
  </si>
  <si>
    <t>Boeddeker_Hunter_25</t>
  </si>
  <si>
    <t>McDowell_Connor_25</t>
  </si>
  <si>
    <t>Norris_Sammy_25</t>
  </si>
  <si>
    <t>Houston_Derek_25</t>
  </si>
  <si>
    <t>Reese_Caleb_25</t>
  </si>
  <si>
    <t>Atkinson_Jordan_25</t>
  </si>
  <si>
    <t>Davis_Diego_25</t>
  </si>
  <si>
    <t>Williams_Xavier_25</t>
  </si>
  <si>
    <t>Johnston_Adam_25</t>
  </si>
  <si>
    <t>Solis_Jojo_25</t>
  </si>
  <si>
    <t>Meadors_Grant_25</t>
  </si>
  <si>
    <t>Speno_Joseph_25</t>
  </si>
  <si>
    <t>Abdullah_Dean_25</t>
  </si>
  <si>
    <t>Ortiz_Elijah_25</t>
  </si>
  <si>
    <t>Bailey_Miles_25</t>
  </si>
  <si>
    <t>Hampsten_Dylan_25</t>
  </si>
  <si>
    <t>McGlothen_Jayland_25</t>
  </si>
  <si>
    <t>Watts_DeSean_25</t>
  </si>
  <si>
    <t>Riley_Kenndel_25</t>
  </si>
  <si>
    <t>Lee_Graysen_25</t>
  </si>
  <si>
    <t>Melanson_Mike_25</t>
  </si>
  <si>
    <t>Sousa_Brandon_25</t>
  </si>
  <si>
    <t>Gretlein_Cade_25</t>
  </si>
  <si>
    <t>Kovacs_Giovanni_25</t>
  </si>
  <si>
    <t>Slater_Luke_25</t>
  </si>
  <si>
    <t>May_Davis_25</t>
  </si>
  <si>
    <t>Moore_Jaxon_25</t>
  </si>
  <si>
    <t>Summers_Bryson_25</t>
  </si>
  <si>
    <t>Hays_Sawyer_25</t>
  </si>
  <si>
    <t>Soto_Jose_25</t>
  </si>
  <si>
    <t>Meek_Aidan_25</t>
  </si>
  <si>
    <t>Sheffield_DeAnthony_25</t>
  </si>
  <si>
    <t>Stallworth_Jeremiah_25</t>
  </si>
  <si>
    <t>McKay_Richard_25</t>
  </si>
  <si>
    <t>Herman_Jordan_25</t>
  </si>
  <si>
    <t>Bass_Trey_25</t>
  </si>
  <si>
    <t>Fernandez_Tre_25</t>
  </si>
  <si>
    <t>Fresques_Jaxon_25</t>
  </si>
  <si>
    <t>Robinson_Dontae_25</t>
  </si>
  <si>
    <t>Huddle_Elijah_25</t>
  </si>
  <si>
    <t>Ambuehl_Davis_25</t>
  </si>
  <si>
    <t>Nelson_Gavin_25</t>
  </si>
  <si>
    <t>Tenney_Bear_25</t>
  </si>
  <si>
    <t>Massey_Syncere_25</t>
  </si>
  <si>
    <t>Gillespie_James_25</t>
  </si>
  <si>
    <t>McGough_Cal_25</t>
  </si>
  <si>
    <t>Jefferson_Jordan_25</t>
  </si>
  <si>
    <t>Kindle_Malachi_25</t>
  </si>
  <si>
    <t>Mosley_Micah_25</t>
  </si>
  <si>
    <t>Firebaugh_Joseph_25</t>
  </si>
  <si>
    <t>Jaden</t>
  </si>
  <si>
    <t>Warren</t>
  </si>
  <si>
    <t>Jayden</t>
  </si>
  <si>
    <t>KJ</t>
  </si>
  <si>
    <t>Kinexon Name</t>
  </si>
  <si>
    <t>Offical ID</t>
  </si>
  <si>
    <t>Column1</t>
  </si>
  <si>
    <t>Team</t>
  </si>
  <si>
    <t>Active</t>
  </si>
  <si>
    <t>None</t>
  </si>
  <si>
    <t>Offical_ID</t>
  </si>
  <si>
    <t>Sensor_Id</t>
  </si>
  <si>
    <t>Johnson_Michael_25</t>
  </si>
  <si>
    <t>Archive 25</t>
  </si>
  <si>
    <t>Dock</t>
  </si>
  <si>
    <t>Spot</t>
  </si>
  <si>
    <t>Offense</t>
  </si>
  <si>
    <t>Defense</t>
  </si>
  <si>
    <t>SOB</t>
  </si>
  <si>
    <t>Row Labels</t>
  </si>
  <si>
    <t>Grand Total</t>
  </si>
  <si>
    <t>Count of Position</t>
  </si>
  <si>
    <t>(blank)</t>
  </si>
  <si>
    <t>Last</t>
  </si>
  <si>
    <t>Dock 1</t>
  </si>
  <si>
    <t>Dock 2</t>
  </si>
  <si>
    <t>Dock 5</t>
  </si>
  <si>
    <t>Dock 3</t>
  </si>
  <si>
    <t>Dock 4</t>
  </si>
  <si>
    <t>Option 1</t>
  </si>
  <si>
    <t>Locker Room</t>
  </si>
  <si>
    <t>Size</t>
  </si>
  <si>
    <t>XXL</t>
  </si>
  <si>
    <t>Pos,</t>
  </si>
  <si>
    <t>Initial_Name</t>
  </si>
  <si>
    <t>Johnson, Mi</t>
  </si>
  <si>
    <t>Hall_Agiye_25</t>
  </si>
  <si>
    <t>Hall, Ag</t>
  </si>
  <si>
    <t>Agiye</t>
  </si>
  <si>
    <t>Position Class</t>
  </si>
  <si>
    <t>Alex Patton</t>
  </si>
  <si>
    <t>Patton_Alex_24</t>
  </si>
  <si>
    <t>Christopher Lands</t>
  </si>
  <si>
    <t>Lands_Christopher_24</t>
  </si>
  <si>
    <t>Ajay Robles</t>
  </si>
  <si>
    <t>Allbranly Gue</t>
  </si>
  <si>
    <t>Montgomery Carey</t>
  </si>
  <si>
    <t>Carson Conklin</t>
  </si>
  <si>
    <t>Emil Skytta</t>
  </si>
  <si>
    <t>Daizon Allen</t>
  </si>
  <si>
    <t>Stephen Dahdouh</t>
  </si>
  <si>
    <t>Robles_Ajay_25</t>
  </si>
  <si>
    <t>Gue_Allbranly_25</t>
  </si>
  <si>
    <t>Carey_Montgomery_25</t>
  </si>
  <si>
    <t>Conklin_Carson_25</t>
  </si>
  <si>
    <t>Skytta_Emil_25</t>
  </si>
  <si>
    <t>Allen_Daizon_25</t>
  </si>
  <si>
    <t>Dahdouh_Stephen_25</t>
  </si>
  <si>
    <t>Akui, Koa</t>
  </si>
  <si>
    <t>Chouteau, Lono</t>
  </si>
  <si>
    <t>Emerson, Yeberell</t>
  </si>
  <si>
    <t>Gordon, Diesel</t>
  </si>
  <si>
    <t>Higgins, Kaleb</t>
  </si>
  <si>
    <t>Hood, Jamal</t>
  </si>
  <si>
    <t>Johnson-Burrell, Lamont</t>
  </si>
  <si>
    <t>Lee, Ricky</t>
  </si>
  <si>
    <t>McKenzie, Anta' Veon</t>
  </si>
  <si>
    <t>Mitchell, Naytel</t>
  </si>
  <si>
    <t>Moore, Oscar</t>
  </si>
  <si>
    <t>Mullican, Elias</t>
  </si>
  <si>
    <t>Oliver, Jason</t>
  </si>
  <si>
    <t>Reese, Caleb</t>
  </si>
  <si>
    <t>Robinson, Jayden</t>
  </si>
  <si>
    <t>Smith, Warren</t>
  </si>
  <si>
    <t>Solis, Jojo</t>
  </si>
  <si>
    <t>Taylor, Adam</t>
  </si>
  <si>
    <t>Williams, Jalen</t>
  </si>
  <si>
    <t>Atkinson, Jordan</t>
  </si>
  <si>
    <t>Bailey, Miles</t>
  </si>
  <si>
    <t>Gillespie, James</t>
  </si>
  <si>
    <t>Hampsten, Dylan</t>
  </si>
  <si>
    <t>Jefferson, Jordan</t>
  </si>
  <si>
    <t>Kindle, Malachi</t>
  </si>
  <si>
    <t>Massey, Syncere</t>
  </si>
  <si>
    <t>McGlothen, Jayland</t>
  </si>
  <si>
    <t>Ross, Kris</t>
  </si>
  <si>
    <t>Swindle, Melvin</t>
  </si>
  <si>
    <t>Tagaloa, Brodie</t>
  </si>
  <si>
    <t>Tullis, Malik</t>
  </si>
  <si>
    <t>Williams, Xavier</t>
  </si>
  <si>
    <t>Boeddeker, Hunter</t>
  </si>
  <si>
    <t>Cahoon, Jackson</t>
  </si>
  <si>
    <t>Cashiola, Josh</t>
  </si>
  <si>
    <t>Davis, Diego</t>
  </si>
  <si>
    <t>Eskridge, Matthew</t>
  </si>
  <si>
    <t>Gooden, Dylan</t>
  </si>
  <si>
    <t>Houston, Derek</t>
  </si>
  <si>
    <t>Jefferson, Karvon</t>
  </si>
  <si>
    <t>Jones, Jekob</t>
  </si>
  <si>
    <t>Mosley, Micah</t>
  </si>
  <si>
    <t>Puloka, Fata</t>
  </si>
  <si>
    <t>Rocha, Alex</t>
  </si>
  <si>
    <t>Scott, Brennon</t>
  </si>
  <si>
    <t>Taylor, Mike</t>
  </si>
  <si>
    <t>Vi, Pita</t>
  </si>
  <si>
    <t>Wright, Deven</t>
  </si>
  <si>
    <t>Johnston, Adam</t>
  </si>
  <si>
    <t>McDowell, Connor</t>
  </si>
  <si>
    <t>Abdullah, Dean</t>
  </si>
  <si>
    <t>Gretlein, Cade</t>
  </si>
  <si>
    <t>Hays, Sawyer</t>
  </si>
  <si>
    <t>Herman, Jordan</t>
  </si>
  <si>
    <t>Kovacs, Gio</t>
  </si>
  <si>
    <t>Lee, Graysen</t>
  </si>
  <si>
    <t>May, Davis</t>
  </si>
  <si>
    <t>McKay, Richard</t>
  </si>
  <si>
    <t>Meek, Aidan</t>
  </si>
  <si>
    <t>Moore, Jaxon</t>
  </si>
  <si>
    <t>Ortiz, Elijah</t>
  </si>
  <si>
    <t>Riley, Kenndel</t>
  </si>
  <si>
    <t>Sheffield, DeAnthony</t>
  </si>
  <si>
    <t>Slater, Luke</t>
  </si>
  <si>
    <t>Soto, Jose</t>
  </si>
  <si>
    <t>Sousa, Brandon</t>
  </si>
  <si>
    <t>Speno, Joe</t>
  </si>
  <si>
    <t>Stallworth, Jeremiah</t>
  </si>
  <si>
    <t>Summers, Bryson</t>
  </si>
  <si>
    <t>Malone, Jamar</t>
  </si>
  <si>
    <t>Rashada, Jaden</t>
  </si>
  <si>
    <t>Williams, Cardell</t>
  </si>
  <si>
    <t>Adams, Sam</t>
  </si>
  <si>
    <t>Borders, Curron</t>
  </si>
  <si>
    <t>Brown, Elias</t>
  </si>
  <si>
    <t>Bryant, Ajon</t>
  </si>
  <si>
    <t>Curtis, Jamar</t>
  </si>
  <si>
    <t>Hammond, Rodney</t>
  </si>
  <si>
    <t>Henderson, Damien</t>
  </si>
  <si>
    <t>Norris, Sammy</t>
  </si>
  <si>
    <t>Red, Savion</t>
  </si>
  <si>
    <t>Smith, Jaquail</t>
  </si>
  <si>
    <t>Firebaugh, Joseph</t>
  </si>
  <si>
    <t>McGough, Cal</t>
  </si>
  <si>
    <t>Meadors, Grant</t>
  </si>
  <si>
    <t>Melanson, Mike</t>
  </si>
  <si>
    <t>Ambuehl, Davis</t>
  </si>
  <si>
    <t>Huddle, Elijah</t>
  </si>
  <si>
    <t>Logan, Tanner</t>
  </si>
  <si>
    <t>Nelson, Gavin</t>
  </si>
  <si>
    <t>Tenney, Bear</t>
  </si>
  <si>
    <t>Williams, Jordan</t>
  </si>
  <si>
    <t>Anderson, Hayden</t>
  </si>
  <si>
    <t>Anderson, Jordan</t>
  </si>
  <si>
    <t>Bass, Trey</t>
  </si>
  <si>
    <t>Campbell, Ernest</t>
  </si>
  <si>
    <t>Conerly, Tim</t>
  </si>
  <si>
    <t>Fernandez, Tre</t>
  </si>
  <si>
    <t>Fresques, Jaxon</t>
  </si>
  <si>
    <t>Garner, Drey</t>
  </si>
  <si>
    <t>Hall, Agiye</t>
  </si>
  <si>
    <t>McDaniel, Damien</t>
  </si>
  <si>
    <t>Nickens, Tye</t>
  </si>
  <si>
    <t>Robinson, Dontae</t>
  </si>
  <si>
    <t>Smith, Onterrio</t>
  </si>
  <si>
    <t>Thomson, Gavin</t>
  </si>
  <si>
    <t>Wilson, Jace</t>
  </si>
  <si>
    <t>Data Hub Name</t>
  </si>
  <si>
    <t>Michael Melanson</t>
  </si>
  <si>
    <t>Kriss Ross</t>
  </si>
  <si>
    <t>Adam  Taylor</t>
  </si>
  <si>
    <t>Joesph Speno</t>
  </si>
  <si>
    <t>Henderson_Damian_25</t>
  </si>
  <si>
    <t>LB</t>
  </si>
  <si>
    <t>Kristopher Ross</t>
  </si>
  <si>
    <t xml:space="preserve">Savion Red </t>
  </si>
  <si>
    <t xml:space="preserve">Max  Susini </t>
  </si>
  <si>
    <t xml:space="preserve">Max Susini </t>
  </si>
  <si>
    <t>Max</t>
  </si>
  <si>
    <t>Susini</t>
  </si>
  <si>
    <t>Mids</t>
  </si>
  <si>
    <t>Susini_Max_25</t>
  </si>
  <si>
    <t>Bigs</t>
  </si>
  <si>
    <t>Skills</t>
  </si>
  <si>
    <t>Spec</t>
  </si>
  <si>
    <t>Group</t>
  </si>
  <si>
    <t>Total</t>
  </si>
  <si>
    <t>Tues 7/22 Group</t>
  </si>
  <si>
    <t>Starting Station</t>
  </si>
  <si>
    <t>Chains With Coach Eli</t>
  </si>
  <si>
    <t>Broad Jump With Coach Conner</t>
  </si>
  <si>
    <t>Build Ups With Coach O'Mary</t>
  </si>
  <si>
    <t>Vertec Test With Coach Shade and Shanahan</t>
  </si>
  <si>
    <t>Offical ID2</t>
  </si>
  <si>
    <t>XL</t>
  </si>
  <si>
    <t>Max Susini</t>
  </si>
  <si>
    <t>L</t>
  </si>
  <si>
    <t>Order</t>
  </si>
  <si>
    <t>Luke Sprague</t>
  </si>
  <si>
    <t>Sprague_Luke_25</t>
  </si>
  <si>
    <t>Sprague, Lu</t>
  </si>
  <si>
    <t>Sprague</t>
  </si>
  <si>
    <t>Squat Max</t>
  </si>
  <si>
    <t>Bench Max</t>
  </si>
  <si>
    <t>Clean Max</t>
  </si>
  <si>
    <t>Top Speed</t>
  </si>
  <si>
    <t>Height</t>
  </si>
  <si>
    <t>Weight</t>
  </si>
  <si>
    <t>ATH</t>
  </si>
  <si>
    <t>Je'kob Jones</t>
  </si>
  <si>
    <t>Springfield, Pa.</t>
  </si>
  <si>
    <t>Cardinal O'Hara HS</t>
  </si>
  <si>
    <t>Bethune-Cookman</t>
  </si>
  <si>
    <t>NB</t>
  </si>
  <si>
    <t>Oxnard, Calif.</t>
  </si>
  <si>
    <t>Pacifica HS</t>
  </si>
  <si>
    <t>IMG Academy</t>
  </si>
  <si>
    <t>In Memory of John Bloomfield</t>
  </si>
  <si>
    <t>-</t>
  </si>
  <si>
    <t>6th</t>
  </si>
  <si>
    <t>Lihue, Hawaii</t>
  </si>
  <si>
    <t>Kapa'a HS</t>
  </si>
  <si>
    <t>Year</t>
  </si>
  <si>
    <t>Sac State Football</t>
  </si>
  <si>
    <t>Data Name</t>
  </si>
  <si>
    <t/>
  </si>
  <si>
    <t>Vertex</t>
  </si>
  <si>
    <t>Broad Jump</t>
  </si>
  <si>
    <t>10' 7.5"</t>
  </si>
  <si>
    <t>8' 5"</t>
  </si>
  <si>
    <t>7' 5"</t>
  </si>
  <si>
    <t>9' 1"</t>
  </si>
  <si>
    <t>9' 5.5"</t>
  </si>
  <si>
    <t>9' 5"</t>
  </si>
  <si>
    <t>7' 6"</t>
  </si>
  <si>
    <t>9' 9"</t>
  </si>
  <si>
    <t>10' 2.5"</t>
  </si>
  <si>
    <t>9' 6.5"</t>
  </si>
  <si>
    <t>9' 3"</t>
  </si>
  <si>
    <t>8' 2"</t>
  </si>
  <si>
    <t>9' 10"</t>
  </si>
  <si>
    <t>8' 8"</t>
  </si>
  <si>
    <t>Mealson</t>
  </si>
  <si>
    <t>Melquise Stovall</t>
  </si>
  <si>
    <t>Stovall, Me</t>
  </si>
  <si>
    <t>Melquise</t>
  </si>
  <si>
    <t>Stovall</t>
  </si>
  <si>
    <t>Stovall_Melquise_24</t>
  </si>
  <si>
    <t>Starters</t>
  </si>
  <si>
    <t>Rotation</t>
  </si>
  <si>
    <t>Starter</t>
  </si>
  <si>
    <t>Back-Up</t>
  </si>
  <si>
    <t>Nash Burkhart</t>
  </si>
  <si>
    <t>Burkhart_Nash_25</t>
  </si>
  <si>
    <t>Nash</t>
  </si>
  <si>
    <t>Burkhart</t>
  </si>
  <si>
    <t>Hamish</t>
  </si>
  <si>
    <t>Hamish Adams</t>
  </si>
  <si>
    <t>Hamish Adam’s</t>
  </si>
  <si>
    <t>Adams_Hamish_25</t>
  </si>
  <si>
    <t>Butler, DeJuan</t>
  </si>
  <si>
    <t>Burkart, Nash</t>
  </si>
  <si>
    <t>McKenzie_Anta_Veon_25</t>
  </si>
  <si>
    <t>Johnson III, Michael</t>
  </si>
  <si>
    <t>Watts, Desean</t>
  </si>
  <si>
    <t>XXXL</t>
  </si>
  <si>
    <t>3XL</t>
  </si>
  <si>
    <t>2XL</t>
  </si>
  <si>
    <t>4XL</t>
  </si>
  <si>
    <t>Count</t>
  </si>
  <si>
    <t>Samuel Adams</t>
  </si>
  <si>
    <t>Samuel Adams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</si>
</sst>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FFFF"/>
      <name val="Roboto"/>
    </font>
    <font>
      <sz val="11"/>
      <color rgb="FF494949"/>
      <name val="Roboto"/>
    </font>
    <font>
      <b/>
      <sz val="12"/>
      <color theme="1"/>
      <name val="Aptos Narrow"/>
      <family val="2"/>
      <scheme val="minor"/>
    </font>
    <font>
      <sz val="11"/>
      <color rgb="FF494949"/>
      <name val="Aptos Display"/>
      <family val="2"/>
      <scheme val="major"/>
    </font>
    <font>
      <sz val="11"/>
      <color rgb="FFFFFFFF"/>
      <name val="Roboto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  <font>
      <b/>
      <sz val="11"/>
      <name val="Aptos Display"/>
      <family val="2"/>
      <scheme val="maj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0"/>
      <color theme="0"/>
      <name val="Aptos Narrow"/>
      <family val="2"/>
      <scheme val="minor"/>
    </font>
    <font>
      <sz val="11"/>
      <color theme="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b/>
      <sz val="14"/>
      <color theme="0"/>
      <name val="Roboto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name val="Aptos Narrow"/>
      <family val="2"/>
      <scheme val="minor"/>
    </font>
    <font>
      <sz val="12"/>
      <color rgb="FF434343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name val="Aptos Narrow"/>
      <family val="2"/>
      <scheme val="minor"/>
    </font>
    <font>
      <i/>
      <sz val="10"/>
      <color rgb="FFC4B581"/>
      <name val="Aptos Narrow"/>
      <family val="2"/>
      <scheme val="minor"/>
    </font>
    <font>
      <b/>
      <sz val="11"/>
      <color rgb="FFC4B581"/>
      <name val="Aptos Narrow"/>
      <family val="2"/>
      <scheme val="minor"/>
    </font>
    <font>
      <sz val="11"/>
      <color rgb="FFC4B581"/>
      <name val="Aptos Display"/>
      <family val="2"/>
      <scheme val="major"/>
    </font>
    <font>
      <sz val="11"/>
      <color rgb="FFC4B58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u/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  <fill>
      <patternFill patternType="solid">
        <fgColor rgb="FF004D3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43927"/>
        <bgColor indexed="64"/>
      </patternFill>
    </fill>
    <fill>
      <patternFill patternType="solid">
        <fgColor rgb="FFC4B58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11">
    <xf numFmtId="0" fontId="0" fillId="0" borderId="0" xfId="0"/>
    <xf numFmtId="0" fontId="2" fillId="4" borderId="0" xfId="0" applyFont="1" applyFill="1" applyAlignment="1">
      <alignment horizontal="left"/>
    </xf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16" fontId="3" fillId="3" borderId="2" xfId="0" applyNumberFormat="1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3" borderId="3" xfId="0" applyFont="1" applyFill="1" applyBorder="1" applyAlignment="1">
      <alignment vertical="top" wrapText="1"/>
    </xf>
    <xf numFmtId="17" fontId="3" fillId="3" borderId="2" xfId="0" applyNumberFormat="1" applyFont="1" applyFill="1" applyBorder="1" applyAlignment="1">
      <alignment vertical="top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4" xfId="0" applyFill="1" applyBorder="1"/>
    <xf numFmtId="0" fontId="5" fillId="3" borderId="0" xfId="0" applyFont="1" applyFill="1" applyAlignment="1">
      <alignment vertical="top" wrapText="1"/>
    </xf>
    <xf numFmtId="0" fontId="4" fillId="0" borderId="4" xfId="0" applyFont="1" applyBorder="1" applyAlignment="1">
      <alignment horizontal="center"/>
    </xf>
    <xf numFmtId="0" fontId="0" fillId="0" borderId="4" xfId="0" applyBorder="1"/>
    <xf numFmtId="0" fontId="4" fillId="0" borderId="5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vertical="top" wrapText="1"/>
    </xf>
    <xf numFmtId="0" fontId="8" fillId="2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top"/>
    </xf>
    <xf numFmtId="0" fontId="3" fillId="3" borderId="12" xfId="0" applyFont="1" applyFill="1" applyBorder="1" applyAlignment="1">
      <alignment vertical="top" wrapText="1"/>
    </xf>
    <xf numFmtId="16" fontId="3" fillId="3" borderId="12" xfId="0" applyNumberFormat="1" applyFont="1" applyFill="1" applyBorder="1" applyAlignment="1">
      <alignment vertical="top"/>
    </xf>
    <xf numFmtId="0" fontId="3" fillId="3" borderId="12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 wrapText="1"/>
    </xf>
    <xf numFmtId="0" fontId="8" fillId="6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" fillId="0" borderId="0" xfId="0" applyFont="1"/>
    <xf numFmtId="0" fontId="1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6" fillId="0" borderId="0" xfId="0" applyFont="1"/>
    <xf numFmtId="0" fontId="17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8" xfId="0" applyFont="1" applyBorder="1"/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2" fillId="3" borderId="2" xfId="1" applyFill="1" applyBorder="1" applyAlignment="1">
      <alignment vertical="top" wrapText="1"/>
    </xf>
    <xf numFmtId="1" fontId="8" fillId="0" borderId="0" xfId="0" applyNumberFormat="1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10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23" fillId="10" borderId="6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17" fillId="9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4" fillId="13" borderId="4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26" fillId="11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16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</font>
      <fill>
        <patternFill patternType="solid">
          <fgColor indexed="64"/>
          <bgColor rgb="FF043927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Aptos Display"/>
        <family val="2"/>
        <scheme val="maj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numFmt numFmtId="21" formatCode="d\-mmm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94949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FFFF"/>
        <name val="Roboto"/>
        <scheme val="none"/>
      </font>
      <fill>
        <patternFill patternType="solid">
          <fgColor indexed="64"/>
          <bgColor rgb="FF004D37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theme="1"/>
      </font>
      <fill>
        <patternFill patternType="solid">
          <fgColor theme="0" tint="-0.14996795556505021"/>
          <bgColor rgb="FFC4B58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color rgb="FF043927"/>
      </font>
      <fill>
        <patternFill patternType="solid">
          <fgColor theme="1"/>
          <bgColor theme="0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rgb="FFC4B581"/>
      </font>
      <fill>
        <patternFill>
          <bgColor theme="2" tint="-0.749961851863155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>
          <bgColor theme="2" tint="-0.49998474074526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2" defaultTableStyle="TableStyleMedium2" defaultPivotStyle="PivotStyleLight16">
    <tableStyle name="TableStyleMedium1 2" pivot="0" count="8" xr9:uid="{F37BE693-2B5E-485C-826A-171E31D6CF24}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firstRowStripe" dxfId="110"/>
      <tableStyleElement type="secondRowStripe" dxfId="109"/>
      <tableStyleElement type="firstColumnStripe" dxfId="108"/>
    </tableStyle>
    <tableStyle name="TableStyleMedium1 3" pivot="0" count="7" xr9:uid="{B4E61CC8-EDF7-4DE0-8FAC-6F8AD23B01FF}">
      <tableStyleElement type="wholeTable" dxfId="107"/>
      <tableStyleElement type="headerRow" dxfId="106"/>
      <tableStyleElement type="totalRow" dxfId="105"/>
      <tableStyleElement type="firstColumn" dxfId="104"/>
      <tableStyleElement type="lastColumn" dxfId="103"/>
      <tableStyleElement type="firstRowStripe" dxfId="102"/>
      <tableStyleElement type="firstColumnStripe" dxfId="101"/>
    </tableStyle>
  </tableStyles>
  <colors>
    <mruColors>
      <color rgb="FFC4B581"/>
      <color rgb="FF043927"/>
      <color rgb="FF0435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Torin/Documents/Strength%20and%20Conditioning%20-%20Jobs/Sac%20State/GPS/Max_Speed_Accel_Decel.csv" TargetMode="External"/><Relationship Id="rId1" Type="http://schemas.openxmlformats.org/officeDocument/2006/relationships/externalLinkPath" Target="/personal/torin_shanahan_csus_edu/Documents/Football/GPS/Max_Speed_Accel_Decel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Torin/Downloads/Untitled%20spreadsheet%20(4).xlsx" TargetMode="External"/><Relationship Id="rId1" Type="http://schemas.openxmlformats.org/officeDocument/2006/relationships/externalLinkPath" Target="/Users/Torin/Downloads/Untitled%20spreadsheet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Torin/Documents/Strength%20and%20Conditioning%20-%20Jobs/Sac%20State/Testing/Sac%20State%20FB%20Sum%2025%20Maxes.xlsx" TargetMode="External"/><Relationship Id="rId1" Type="http://schemas.openxmlformats.org/officeDocument/2006/relationships/externalLinkPath" Target="/personal/torin_shanahan_csus_edu/Documents/Football/Testing/Sac%20State%20FB%20Sum%2025%20M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x_Speed_Accel_Decel"/>
    </sheetNames>
    <sheetDataSet>
      <sheetData sheetId="0">
        <row r="2">
          <cell r="C2" t="str">
            <v>Taylor_Adam_25</v>
          </cell>
          <cell r="J2">
            <v>22.53</v>
          </cell>
        </row>
        <row r="3">
          <cell r="C3" t="str">
            <v>Hall_Agiye_25</v>
          </cell>
          <cell r="J3">
            <v>22.03</v>
          </cell>
        </row>
        <row r="4">
          <cell r="C4" t="str">
            <v>Meek_Aidan_25</v>
          </cell>
          <cell r="J4">
            <v>16</v>
          </cell>
        </row>
        <row r="5">
          <cell r="C5" t="str">
            <v>Bryant_Ajon_25</v>
          </cell>
          <cell r="J5">
            <v>21.54</v>
          </cell>
        </row>
        <row r="6">
          <cell r="C6" t="str">
            <v>Rocha_Alex_25</v>
          </cell>
          <cell r="J6">
            <v>18.149999999999999</v>
          </cell>
        </row>
        <row r="7">
          <cell r="C7" t="str">
            <v>McKenzie_Anta'Veon_25</v>
          </cell>
          <cell r="J7">
            <v>20.88</v>
          </cell>
        </row>
        <row r="8">
          <cell r="C8" t="str">
            <v>Tenney_Bear_25</v>
          </cell>
          <cell r="J8">
            <v>18.48</v>
          </cell>
        </row>
        <row r="9">
          <cell r="C9" t="str">
            <v>Sousa_Brandon_25</v>
          </cell>
          <cell r="J9">
            <v>16.670000000000002</v>
          </cell>
        </row>
        <row r="10">
          <cell r="C10" t="str">
            <v>Scott_Brennon_25</v>
          </cell>
          <cell r="J10">
            <v>19</v>
          </cell>
        </row>
        <row r="11">
          <cell r="C11" t="str">
            <v>Tagaloa_Brodie_25</v>
          </cell>
          <cell r="J11">
            <v>17.38</v>
          </cell>
        </row>
        <row r="12">
          <cell r="C12" t="str">
            <v>Summers_Bryson_25</v>
          </cell>
          <cell r="J12">
            <v>14.93</v>
          </cell>
        </row>
        <row r="13">
          <cell r="C13" t="str">
            <v>Gretlein_Cade_25</v>
          </cell>
          <cell r="J13">
            <v>17.399999999999999</v>
          </cell>
        </row>
        <row r="14">
          <cell r="C14" t="str">
            <v>Reese_Caleb_25</v>
          </cell>
          <cell r="J14">
            <v>22.16</v>
          </cell>
        </row>
        <row r="15">
          <cell r="C15" t="str">
            <v>Williams_Cardell_25</v>
          </cell>
          <cell r="J15">
            <v>21.36</v>
          </cell>
        </row>
        <row r="16">
          <cell r="J16">
            <v>19.239999999999998</v>
          </cell>
        </row>
        <row r="17">
          <cell r="J17">
            <v>19.239999999999998</v>
          </cell>
        </row>
        <row r="18">
          <cell r="J18">
            <v>19.239999999999998</v>
          </cell>
        </row>
        <row r="19">
          <cell r="J19">
            <v>19.239999999999998</v>
          </cell>
        </row>
        <row r="20">
          <cell r="J20">
            <v>19.239999999999998</v>
          </cell>
        </row>
        <row r="21">
          <cell r="J21">
            <v>19.239999999999998</v>
          </cell>
        </row>
        <row r="22">
          <cell r="J22">
            <v>19.239999999999998</v>
          </cell>
        </row>
        <row r="23">
          <cell r="J23">
            <v>19.239999999999998</v>
          </cell>
        </row>
        <row r="24">
          <cell r="J24">
            <v>19.239999999999998</v>
          </cell>
        </row>
        <row r="25">
          <cell r="J25">
            <v>19.239999999999998</v>
          </cell>
        </row>
        <row r="26">
          <cell r="J26">
            <v>19.239999999999998</v>
          </cell>
        </row>
        <row r="27">
          <cell r="J27">
            <v>19.239999999999998</v>
          </cell>
        </row>
        <row r="28">
          <cell r="J28">
            <v>19.239999999999998</v>
          </cell>
        </row>
        <row r="29">
          <cell r="J29">
            <v>19.239999999999998</v>
          </cell>
        </row>
        <row r="30">
          <cell r="J30">
            <v>20.27</v>
          </cell>
        </row>
        <row r="31">
          <cell r="J31">
            <v>20.27</v>
          </cell>
        </row>
        <row r="32">
          <cell r="J32">
            <v>20.27</v>
          </cell>
        </row>
        <row r="33">
          <cell r="J33">
            <v>20.27</v>
          </cell>
        </row>
        <row r="34">
          <cell r="J34">
            <v>20.27</v>
          </cell>
        </row>
        <row r="35">
          <cell r="J35">
            <v>20.27</v>
          </cell>
        </row>
        <row r="36">
          <cell r="J36">
            <v>20.27</v>
          </cell>
        </row>
        <row r="37">
          <cell r="J37">
            <v>20.27</v>
          </cell>
        </row>
        <row r="38">
          <cell r="J38">
            <v>20.27</v>
          </cell>
        </row>
        <row r="39">
          <cell r="J39">
            <v>20.27</v>
          </cell>
        </row>
        <row r="40">
          <cell r="J40">
            <v>20.27</v>
          </cell>
        </row>
        <row r="41">
          <cell r="J41">
            <v>20.27</v>
          </cell>
        </row>
        <row r="42">
          <cell r="J42">
            <v>20.27</v>
          </cell>
        </row>
        <row r="43">
          <cell r="J43">
            <v>20.27</v>
          </cell>
        </row>
        <row r="44">
          <cell r="C44" t="str">
            <v>Borders_Curron_25</v>
          </cell>
          <cell r="J44">
            <v>20.81</v>
          </cell>
        </row>
        <row r="45">
          <cell r="C45" t="str">
            <v>Henderson_Damian_25</v>
          </cell>
          <cell r="J45">
            <v>20.62</v>
          </cell>
        </row>
        <row r="46">
          <cell r="C46" t="str">
            <v>McDaniel_Damien_25</v>
          </cell>
          <cell r="J46">
            <v>19.84</v>
          </cell>
        </row>
        <row r="47">
          <cell r="J47">
            <v>19.02</v>
          </cell>
        </row>
        <row r="48">
          <cell r="J48">
            <v>19.02</v>
          </cell>
        </row>
        <row r="49">
          <cell r="J49">
            <v>19.02</v>
          </cell>
        </row>
        <row r="50">
          <cell r="J50">
            <v>19.02</v>
          </cell>
        </row>
        <row r="51">
          <cell r="J51">
            <v>19.02</v>
          </cell>
        </row>
        <row r="52">
          <cell r="J52">
            <v>19.02</v>
          </cell>
        </row>
        <row r="53">
          <cell r="J53">
            <v>19.02</v>
          </cell>
        </row>
        <row r="54">
          <cell r="J54">
            <v>19.02</v>
          </cell>
        </row>
        <row r="55">
          <cell r="J55">
            <v>19.02</v>
          </cell>
        </row>
        <row r="56">
          <cell r="J56">
            <v>19.02</v>
          </cell>
        </row>
        <row r="57">
          <cell r="J57">
            <v>19.02</v>
          </cell>
        </row>
        <row r="58">
          <cell r="J58">
            <v>19.02</v>
          </cell>
        </row>
        <row r="59">
          <cell r="J59">
            <v>19.02</v>
          </cell>
        </row>
        <row r="60">
          <cell r="J60">
            <v>19.02</v>
          </cell>
        </row>
        <row r="61">
          <cell r="C61" t="str">
            <v>Ambuehl_Davis_25</v>
          </cell>
          <cell r="J61">
            <v>18.39</v>
          </cell>
        </row>
        <row r="62">
          <cell r="C62" t="str">
            <v>May_Davis_25</v>
          </cell>
          <cell r="J62">
            <v>15.49</v>
          </cell>
        </row>
        <row r="63">
          <cell r="C63" t="str">
            <v>Sheffield_DeAnthony_25</v>
          </cell>
          <cell r="J63">
            <v>15.84</v>
          </cell>
        </row>
        <row r="64">
          <cell r="C64" t="str">
            <v>Watts_DeSean_25</v>
          </cell>
          <cell r="J64">
            <v>16.510000000000002</v>
          </cell>
        </row>
        <row r="65">
          <cell r="C65" t="str">
            <v>Abdullah_Dean_25</v>
          </cell>
          <cell r="J65">
            <v>17.190000000000001</v>
          </cell>
        </row>
        <row r="66">
          <cell r="C66" t="str">
            <v>Butler_Dejuan_25</v>
          </cell>
          <cell r="J66">
            <v>22.53</v>
          </cell>
        </row>
        <row r="67">
          <cell r="C67" t="str">
            <v>Houston_Derek_25</v>
          </cell>
          <cell r="J67">
            <v>19.920000000000002</v>
          </cell>
        </row>
        <row r="68">
          <cell r="C68" t="str">
            <v>Wright_Deven_25</v>
          </cell>
          <cell r="J68">
            <v>19.66</v>
          </cell>
        </row>
        <row r="69">
          <cell r="J69">
            <v>20.239999999999998</v>
          </cell>
        </row>
        <row r="70">
          <cell r="J70">
            <v>20.239999999999998</v>
          </cell>
        </row>
        <row r="71">
          <cell r="J71">
            <v>20.239999999999998</v>
          </cell>
        </row>
        <row r="72">
          <cell r="J72">
            <v>20.239999999999998</v>
          </cell>
        </row>
        <row r="73">
          <cell r="J73">
            <v>20.239999999999998</v>
          </cell>
        </row>
        <row r="74">
          <cell r="J74">
            <v>20.239999999999998</v>
          </cell>
        </row>
        <row r="75">
          <cell r="J75">
            <v>20.239999999999998</v>
          </cell>
        </row>
        <row r="76">
          <cell r="J76">
            <v>20.239999999999998</v>
          </cell>
        </row>
        <row r="77">
          <cell r="J77">
            <v>20.239999999999998</v>
          </cell>
        </row>
        <row r="78">
          <cell r="J78">
            <v>20.239999999999998</v>
          </cell>
        </row>
        <row r="79">
          <cell r="J79">
            <v>20.239999999999998</v>
          </cell>
        </row>
        <row r="80">
          <cell r="J80">
            <v>20.239999999999998</v>
          </cell>
        </row>
        <row r="81">
          <cell r="J81">
            <v>20.239999999999998</v>
          </cell>
        </row>
        <row r="82">
          <cell r="J82">
            <v>20.239999999999998</v>
          </cell>
        </row>
        <row r="83">
          <cell r="C83" t="str">
            <v>Davis_Diego_25</v>
          </cell>
          <cell r="J83">
            <v>20.76</v>
          </cell>
        </row>
        <row r="84">
          <cell r="C84" t="str">
            <v>Gordon_Diesel_25</v>
          </cell>
          <cell r="J84">
            <v>20.67</v>
          </cell>
        </row>
        <row r="85">
          <cell r="C85" t="str">
            <v>Robinson_Dontae_25</v>
          </cell>
          <cell r="J85">
            <v>21.36</v>
          </cell>
        </row>
        <row r="86">
          <cell r="C86" t="str">
            <v>Garner_Drey_25</v>
          </cell>
          <cell r="J86">
            <v>20.88</v>
          </cell>
        </row>
        <row r="87">
          <cell r="C87" t="str">
            <v>Gooden_Dylan_25</v>
          </cell>
          <cell r="J87">
            <v>20.51</v>
          </cell>
        </row>
        <row r="88">
          <cell r="C88" t="str">
            <v>Hampsten_Dylan_25</v>
          </cell>
          <cell r="J88">
            <v>19.11</v>
          </cell>
        </row>
        <row r="89">
          <cell r="C89" t="str">
            <v>Brown_Elias_25</v>
          </cell>
          <cell r="J89">
            <v>20.86</v>
          </cell>
        </row>
        <row r="90">
          <cell r="C90" t="str">
            <v>Mullican_Elias_25</v>
          </cell>
          <cell r="J90">
            <v>21.39</v>
          </cell>
        </row>
        <row r="91">
          <cell r="C91" t="str">
            <v>Huddle_Elijah_25</v>
          </cell>
          <cell r="J91">
            <v>19.27</v>
          </cell>
        </row>
        <row r="92">
          <cell r="C92" t="str">
            <v>Ortiz_Elijah_25</v>
          </cell>
          <cell r="J92">
            <v>15.69</v>
          </cell>
        </row>
        <row r="93">
          <cell r="C93" t="str">
            <v>Campbell_Ernest_25</v>
          </cell>
          <cell r="J93">
            <v>22.68</v>
          </cell>
        </row>
        <row r="94">
          <cell r="C94" t="str">
            <v>Puloka_Fata_25</v>
          </cell>
          <cell r="J94">
            <v>19.989999999999998</v>
          </cell>
        </row>
        <row r="95">
          <cell r="C95" t="str">
            <v>Nelson_Gavin_25</v>
          </cell>
          <cell r="J95">
            <v>18.73</v>
          </cell>
        </row>
        <row r="96">
          <cell r="C96" t="str">
            <v>Thomson_Gavin_25</v>
          </cell>
          <cell r="J96">
            <v>20.99</v>
          </cell>
        </row>
        <row r="97">
          <cell r="C97" t="str">
            <v>Kovacs_Giovanni_25</v>
          </cell>
          <cell r="J97">
            <v>19.190000000000001</v>
          </cell>
        </row>
        <row r="98">
          <cell r="C98" t="str">
            <v>Anderson_Hayden_25</v>
          </cell>
          <cell r="J98">
            <v>20.71</v>
          </cell>
        </row>
        <row r="99">
          <cell r="C99" t="str">
            <v>Boeddeker_Hunter_25</v>
          </cell>
          <cell r="J99">
            <v>19.61</v>
          </cell>
        </row>
        <row r="100">
          <cell r="C100" t="str">
            <v>Wilson_Jace_25</v>
          </cell>
          <cell r="J100">
            <v>19.93</v>
          </cell>
        </row>
        <row r="101">
          <cell r="C101" t="str">
            <v>Cahoon_Jackson_25</v>
          </cell>
          <cell r="J101">
            <v>20.07</v>
          </cell>
        </row>
        <row r="102">
          <cell r="C102" t="str">
            <v>Rashada_Jaden_25</v>
          </cell>
          <cell r="J102">
            <v>19.75</v>
          </cell>
        </row>
        <row r="103">
          <cell r="C103" t="str">
            <v>Williams_Jalen_25</v>
          </cell>
          <cell r="J103">
            <v>21.89</v>
          </cell>
        </row>
        <row r="104">
          <cell r="C104" t="str">
            <v>Hood_Jamal_25</v>
          </cell>
          <cell r="J104">
            <v>20.23</v>
          </cell>
        </row>
        <row r="105">
          <cell r="C105" t="str">
            <v>Curtis_Jamar_25</v>
          </cell>
          <cell r="J105">
            <v>20.38</v>
          </cell>
        </row>
        <row r="106">
          <cell r="C106" t="str">
            <v>Malone_Jamar_25</v>
          </cell>
          <cell r="J106">
            <v>19.28</v>
          </cell>
        </row>
        <row r="107">
          <cell r="C107" t="str">
            <v>Gillespie_James_25</v>
          </cell>
          <cell r="J107">
            <v>15.63</v>
          </cell>
        </row>
        <row r="108">
          <cell r="C108" t="str">
            <v>Smith_Jaquail_25</v>
          </cell>
          <cell r="J108">
            <v>21.97</v>
          </cell>
        </row>
        <row r="109">
          <cell r="C109" t="str">
            <v>Oliver_Jason_25</v>
          </cell>
          <cell r="J109">
            <v>20.149999999999999</v>
          </cell>
        </row>
        <row r="110">
          <cell r="C110" t="str">
            <v>Fresques_Jaxon_25</v>
          </cell>
          <cell r="J110">
            <v>21.72</v>
          </cell>
        </row>
        <row r="111">
          <cell r="C111" t="str">
            <v>Moore_Jaxon_25</v>
          </cell>
          <cell r="J111">
            <v>15.34</v>
          </cell>
        </row>
        <row r="112">
          <cell r="J112">
            <v>16.09</v>
          </cell>
        </row>
        <row r="113">
          <cell r="J113">
            <v>16.09</v>
          </cell>
        </row>
        <row r="114">
          <cell r="J114">
            <v>16.09</v>
          </cell>
        </row>
        <row r="115">
          <cell r="J115">
            <v>16.09</v>
          </cell>
        </row>
        <row r="116">
          <cell r="J116">
            <v>16.09</v>
          </cell>
        </row>
        <row r="117">
          <cell r="J117">
            <v>16.09</v>
          </cell>
        </row>
        <row r="118">
          <cell r="J118">
            <v>16.09</v>
          </cell>
        </row>
        <row r="119">
          <cell r="J119">
            <v>16.09</v>
          </cell>
        </row>
        <row r="120">
          <cell r="J120">
            <v>16.09</v>
          </cell>
        </row>
        <row r="121">
          <cell r="J121">
            <v>16.09</v>
          </cell>
        </row>
        <row r="122">
          <cell r="J122">
            <v>16.09</v>
          </cell>
        </row>
        <row r="123">
          <cell r="J123">
            <v>16.09</v>
          </cell>
        </row>
        <row r="124">
          <cell r="J124">
            <v>16.09</v>
          </cell>
        </row>
        <row r="125">
          <cell r="J125">
            <v>16.09</v>
          </cell>
        </row>
        <row r="126">
          <cell r="C126" t="str">
            <v>Robinson_Jayden_25</v>
          </cell>
          <cell r="J126">
            <v>21.2</v>
          </cell>
        </row>
        <row r="127">
          <cell r="C127" t="str">
            <v>McGlothen_Jayland_25</v>
          </cell>
          <cell r="J127">
            <v>18.14</v>
          </cell>
        </row>
        <row r="128">
          <cell r="C128" t="str">
            <v>Jones_Jekob_25</v>
          </cell>
          <cell r="J128">
            <v>19.95</v>
          </cell>
        </row>
        <row r="129">
          <cell r="C129" t="str">
            <v>Stallworth_Jeremiah_25</v>
          </cell>
          <cell r="J129">
            <v>14.99</v>
          </cell>
        </row>
        <row r="130">
          <cell r="C130" t="str">
            <v>Solis_Jojo_25</v>
          </cell>
          <cell r="J130">
            <v>20.5</v>
          </cell>
        </row>
        <row r="131">
          <cell r="C131" t="str">
            <v>Anderson_Jordan_25</v>
          </cell>
          <cell r="J131">
            <v>20.67</v>
          </cell>
        </row>
        <row r="132">
          <cell r="C132" t="str">
            <v>Herman_Jordan_25</v>
          </cell>
          <cell r="J132">
            <v>18.420000000000002</v>
          </cell>
        </row>
        <row r="133">
          <cell r="C133" t="str">
            <v>Jefferson_Jordan_25</v>
          </cell>
          <cell r="J133">
            <v>15.72</v>
          </cell>
        </row>
        <row r="134">
          <cell r="C134" t="str">
            <v>Williams_Jordan_25</v>
          </cell>
          <cell r="J134">
            <v>21.06</v>
          </cell>
        </row>
        <row r="135">
          <cell r="C135" t="str">
            <v>Soto_Jose_25</v>
          </cell>
          <cell r="J135">
            <v>16.37</v>
          </cell>
        </row>
        <row r="136">
          <cell r="C136" t="str">
            <v>Speno_Joseph_25</v>
          </cell>
          <cell r="J136">
            <v>16.97</v>
          </cell>
        </row>
        <row r="137">
          <cell r="C137" t="str">
            <v>Cashiola_Josh_25</v>
          </cell>
          <cell r="J137">
            <v>19.7</v>
          </cell>
        </row>
        <row r="138">
          <cell r="C138" t="str">
            <v>Jefferson_KJ_25</v>
          </cell>
          <cell r="J138">
            <v>20.52</v>
          </cell>
        </row>
        <row r="139">
          <cell r="C139" t="str">
            <v>Higgins_Kaleb_25</v>
          </cell>
          <cell r="J139">
            <v>21.69</v>
          </cell>
        </row>
        <row r="140">
          <cell r="J140">
            <v>16.53</v>
          </cell>
        </row>
        <row r="141">
          <cell r="J141">
            <v>16.53</v>
          </cell>
        </row>
        <row r="142">
          <cell r="J142">
            <v>16.53</v>
          </cell>
        </row>
        <row r="143">
          <cell r="J143">
            <v>16.53</v>
          </cell>
        </row>
        <row r="144">
          <cell r="J144">
            <v>16.53</v>
          </cell>
        </row>
        <row r="145">
          <cell r="J145">
            <v>16.53</v>
          </cell>
        </row>
        <row r="146">
          <cell r="J146">
            <v>16.53</v>
          </cell>
        </row>
        <row r="147">
          <cell r="J147">
            <v>16.53</v>
          </cell>
        </row>
        <row r="148">
          <cell r="J148">
            <v>16.53</v>
          </cell>
        </row>
        <row r="149">
          <cell r="J149">
            <v>16.53</v>
          </cell>
        </row>
        <row r="150">
          <cell r="J150">
            <v>16.53</v>
          </cell>
        </row>
        <row r="151">
          <cell r="J151">
            <v>16.53</v>
          </cell>
        </row>
        <row r="152">
          <cell r="J152">
            <v>16.53</v>
          </cell>
        </row>
        <row r="153">
          <cell r="J153">
            <v>16.53</v>
          </cell>
        </row>
        <row r="154">
          <cell r="C154" t="str">
            <v>Riley_Kenndel_25</v>
          </cell>
          <cell r="J154">
            <v>15.62</v>
          </cell>
        </row>
        <row r="155">
          <cell r="C155" t="str">
            <v>Akui_Koa_25</v>
          </cell>
          <cell r="J155">
            <v>20.76</v>
          </cell>
        </row>
        <row r="156">
          <cell r="C156" t="str">
            <v>Ross_Kris_25</v>
          </cell>
          <cell r="J156">
            <v>17.8</v>
          </cell>
        </row>
        <row r="157">
          <cell r="C157" t="str">
            <v>Johnson-Burrell_Lamont_25</v>
          </cell>
          <cell r="J157">
            <v>20.89</v>
          </cell>
        </row>
        <row r="158">
          <cell r="C158" t="str">
            <v>Tanner_Logan_25</v>
          </cell>
          <cell r="J158">
            <v>20.65</v>
          </cell>
        </row>
        <row r="159">
          <cell r="C159" t="str">
            <v>Chouteau_Lono_25</v>
          </cell>
          <cell r="J159">
            <v>19.989999999999998</v>
          </cell>
        </row>
        <row r="160">
          <cell r="C160" t="str">
            <v>Slater_Luke_25</v>
          </cell>
          <cell r="J160">
            <v>17.579999999999998</v>
          </cell>
        </row>
        <row r="161">
          <cell r="C161" t="str">
            <v>Sprague_Luke_25</v>
          </cell>
          <cell r="J161">
            <v>17.13</v>
          </cell>
        </row>
        <row r="162">
          <cell r="J162">
            <v>19.63</v>
          </cell>
        </row>
        <row r="163">
          <cell r="J163">
            <v>19.63</v>
          </cell>
        </row>
        <row r="164">
          <cell r="J164">
            <v>19.63</v>
          </cell>
        </row>
        <row r="165">
          <cell r="J165">
            <v>19.63</v>
          </cell>
        </row>
        <row r="166">
          <cell r="J166">
            <v>19.63</v>
          </cell>
        </row>
        <row r="167">
          <cell r="J167">
            <v>19.63</v>
          </cell>
        </row>
        <row r="168">
          <cell r="J168">
            <v>19.63</v>
          </cell>
        </row>
        <row r="169">
          <cell r="J169">
            <v>19.63</v>
          </cell>
        </row>
        <row r="170">
          <cell r="J170">
            <v>19.63</v>
          </cell>
        </row>
        <row r="171">
          <cell r="J171">
            <v>19.63</v>
          </cell>
        </row>
        <row r="172">
          <cell r="J172">
            <v>19.63</v>
          </cell>
        </row>
        <row r="173">
          <cell r="J173">
            <v>19.63</v>
          </cell>
        </row>
        <row r="174">
          <cell r="J174">
            <v>19.63</v>
          </cell>
        </row>
        <row r="175">
          <cell r="J175">
            <v>19.63</v>
          </cell>
        </row>
        <row r="176">
          <cell r="C176" t="str">
            <v>Kindle_Malachi_25</v>
          </cell>
          <cell r="J176">
            <v>16.84</v>
          </cell>
        </row>
        <row r="177">
          <cell r="C177" t="str">
            <v>Tullis_Malik_25</v>
          </cell>
          <cell r="J177">
            <v>17.27</v>
          </cell>
        </row>
        <row r="178">
          <cell r="J178">
            <v>15.05</v>
          </cell>
        </row>
        <row r="179">
          <cell r="J179">
            <v>15.05</v>
          </cell>
        </row>
        <row r="180">
          <cell r="J180">
            <v>15.05</v>
          </cell>
        </row>
        <row r="181">
          <cell r="J181">
            <v>15.05</v>
          </cell>
        </row>
        <row r="182">
          <cell r="J182">
            <v>15.05</v>
          </cell>
        </row>
        <row r="183">
          <cell r="J183">
            <v>15.05</v>
          </cell>
        </row>
        <row r="184">
          <cell r="J184">
            <v>15.05</v>
          </cell>
        </row>
        <row r="185">
          <cell r="J185">
            <v>15.05</v>
          </cell>
        </row>
        <row r="186">
          <cell r="J186">
            <v>15.05</v>
          </cell>
        </row>
        <row r="187">
          <cell r="J187">
            <v>15.05</v>
          </cell>
        </row>
        <row r="188">
          <cell r="J188">
            <v>15.05</v>
          </cell>
        </row>
        <row r="189">
          <cell r="J189">
            <v>15.05</v>
          </cell>
        </row>
        <row r="190">
          <cell r="J190">
            <v>15.05</v>
          </cell>
        </row>
        <row r="191">
          <cell r="J191">
            <v>15.05</v>
          </cell>
        </row>
        <row r="192">
          <cell r="C192" t="str">
            <v>Eskridge_Matthew_25</v>
          </cell>
          <cell r="J192">
            <v>19.350000000000001</v>
          </cell>
        </row>
        <row r="193">
          <cell r="C193" t="str">
            <v>Susini_Max_25</v>
          </cell>
          <cell r="J193">
            <v>15.87</v>
          </cell>
        </row>
        <row r="194">
          <cell r="C194" t="str">
            <v>Swindle_Melvin_25</v>
          </cell>
          <cell r="J194">
            <v>17.38</v>
          </cell>
        </row>
        <row r="195">
          <cell r="C195" t="str">
            <v>Mosley_Micah_25</v>
          </cell>
          <cell r="J195">
            <v>17.690000000000001</v>
          </cell>
        </row>
        <row r="196">
          <cell r="C196" t="str">
            <v>Johnson_Michael_25</v>
          </cell>
          <cell r="J196">
            <v>20.43</v>
          </cell>
        </row>
        <row r="197">
          <cell r="C197" t="str">
            <v>Taylor_Mike_25</v>
          </cell>
          <cell r="J197">
            <v>20.82</v>
          </cell>
        </row>
        <row r="198">
          <cell r="C198" t="str">
            <v>Bailey_Miles_25</v>
          </cell>
          <cell r="J198">
            <v>17.78</v>
          </cell>
        </row>
        <row r="199">
          <cell r="J199">
            <v>19.37</v>
          </cell>
        </row>
        <row r="200">
          <cell r="J200">
            <v>19.37</v>
          </cell>
        </row>
        <row r="201">
          <cell r="J201">
            <v>19.37</v>
          </cell>
        </row>
        <row r="202">
          <cell r="J202">
            <v>19.37</v>
          </cell>
        </row>
        <row r="203">
          <cell r="J203">
            <v>19.37</v>
          </cell>
        </row>
        <row r="204">
          <cell r="J204">
            <v>19.37</v>
          </cell>
        </row>
        <row r="205">
          <cell r="J205">
            <v>19.37</v>
          </cell>
        </row>
        <row r="206">
          <cell r="J206">
            <v>19.37</v>
          </cell>
        </row>
        <row r="207">
          <cell r="J207">
            <v>19.37</v>
          </cell>
        </row>
        <row r="208">
          <cell r="J208">
            <v>19.37</v>
          </cell>
        </row>
        <row r="209">
          <cell r="J209">
            <v>19.37</v>
          </cell>
        </row>
        <row r="210">
          <cell r="J210">
            <v>19.37</v>
          </cell>
        </row>
        <row r="211">
          <cell r="J211">
            <v>19.37</v>
          </cell>
        </row>
        <row r="212">
          <cell r="J212">
            <v>19.37</v>
          </cell>
        </row>
        <row r="213">
          <cell r="C213" t="str">
            <v>Mitchell_Naytel_25</v>
          </cell>
          <cell r="J213">
            <v>21.47</v>
          </cell>
        </row>
        <row r="214">
          <cell r="C214" t="str">
            <v>Smith_Onterrio_25</v>
          </cell>
          <cell r="J214">
            <v>21.49</v>
          </cell>
        </row>
        <row r="215">
          <cell r="C215" t="str">
            <v>Moore_Oscar_25</v>
          </cell>
          <cell r="J215">
            <v>21.25</v>
          </cell>
        </row>
        <row r="216">
          <cell r="C216" t="str">
            <v>Vi_Pita_25</v>
          </cell>
          <cell r="J216">
            <v>15.52</v>
          </cell>
        </row>
        <row r="217">
          <cell r="J217">
            <v>17.55</v>
          </cell>
        </row>
        <row r="218">
          <cell r="J218">
            <v>17.55</v>
          </cell>
        </row>
        <row r="219">
          <cell r="J219">
            <v>17.55</v>
          </cell>
        </row>
        <row r="220">
          <cell r="J220">
            <v>17.55</v>
          </cell>
        </row>
        <row r="221">
          <cell r="J221">
            <v>17.55</v>
          </cell>
        </row>
        <row r="222">
          <cell r="J222">
            <v>17.55</v>
          </cell>
        </row>
        <row r="223">
          <cell r="J223">
            <v>17.55</v>
          </cell>
        </row>
        <row r="224">
          <cell r="J224">
            <v>17.55</v>
          </cell>
        </row>
        <row r="225">
          <cell r="J225">
            <v>17.55</v>
          </cell>
        </row>
        <row r="226">
          <cell r="J226">
            <v>17.55</v>
          </cell>
        </row>
        <row r="227">
          <cell r="J227">
            <v>17.55</v>
          </cell>
        </row>
        <row r="228">
          <cell r="J228">
            <v>17.55</v>
          </cell>
        </row>
        <row r="229">
          <cell r="J229">
            <v>17.55</v>
          </cell>
        </row>
        <row r="230">
          <cell r="J230">
            <v>17.55</v>
          </cell>
        </row>
        <row r="231">
          <cell r="J231">
            <v>16.670000000000002</v>
          </cell>
        </row>
        <row r="232">
          <cell r="J232">
            <v>16.670000000000002</v>
          </cell>
        </row>
        <row r="233">
          <cell r="J233">
            <v>16.670000000000002</v>
          </cell>
        </row>
        <row r="234">
          <cell r="J234">
            <v>16.670000000000002</v>
          </cell>
        </row>
        <row r="235">
          <cell r="J235">
            <v>16.670000000000002</v>
          </cell>
        </row>
        <row r="236">
          <cell r="J236">
            <v>16.670000000000002</v>
          </cell>
        </row>
        <row r="237">
          <cell r="J237">
            <v>16.670000000000002</v>
          </cell>
        </row>
        <row r="238">
          <cell r="J238">
            <v>16.670000000000002</v>
          </cell>
        </row>
        <row r="239">
          <cell r="J239">
            <v>16.670000000000002</v>
          </cell>
        </row>
        <row r="240">
          <cell r="J240">
            <v>16.670000000000002</v>
          </cell>
        </row>
        <row r="241">
          <cell r="J241">
            <v>16.670000000000002</v>
          </cell>
        </row>
        <row r="242">
          <cell r="J242">
            <v>16.670000000000002</v>
          </cell>
        </row>
        <row r="243">
          <cell r="J243">
            <v>16.670000000000002</v>
          </cell>
        </row>
        <row r="244">
          <cell r="J244">
            <v>16.670000000000002</v>
          </cell>
        </row>
        <row r="245">
          <cell r="C245" t="str">
            <v>McKay_Richard_25</v>
          </cell>
          <cell r="J245">
            <v>16.45</v>
          </cell>
        </row>
        <row r="246">
          <cell r="C246" t="str">
            <v>Lee_Ricky_25</v>
          </cell>
          <cell r="J246">
            <v>21.11</v>
          </cell>
        </row>
        <row r="247">
          <cell r="C247" t="str">
            <v>Hammond_Rodney_25</v>
          </cell>
          <cell r="J247">
            <v>21.27</v>
          </cell>
        </row>
        <row r="248">
          <cell r="C248" t="str">
            <v>Adams_Sam_25</v>
          </cell>
          <cell r="J248">
            <v>20.57</v>
          </cell>
        </row>
        <row r="249">
          <cell r="C249" t="str">
            <v>Norris_Sammy_25</v>
          </cell>
          <cell r="J249">
            <v>17.25</v>
          </cell>
        </row>
        <row r="250">
          <cell r="C250" t="str">
            <v>Red_Savion_25</v>
          </cell>
          <cell r="J250">
            <v>20.49</v>
          </cell>
        </row>
        <row r="251">
          <cell r="C251" t="str">
            <v>Hays_Sawyer_25</v>
          </cell>
          <cell r="J251">
            <v>15.68</v>
          </cell>
        </row>
        <row r="252">
          <cell r="C252" t="str">
            <v>Massey_Syncere_25</v>
          </cell>
          <cell r="J252">
            <v>16.440000000000001</v>
          </cell>
        </row>
        <row r="253">
          <cell r="J253">
            <v>18.18</v>
          </cell>
        </row>
        <row r="254">
          <cell r="J254">
            <v>18.18</v>
          </cell>
        </row>
        <row r="255">
          <cell r="J255">
            <v>18.18</v>
          </cell>
        </row>
        <row r="256">
          <cell r="J256">
            <v>18.18</v>
          </cell>
        </row>
        <row r="257">
          <cell r="J257">
            <v>18.18</v>
          </cell>
        </row>
        <row r="258">
          <cell r="J258">
            <v>18.18</v>
          </cell>
        </row>
        <row r="259">
          <cell r="J259">
            <v>18.18</v>
          </cell>
        </row>
        <row r="260">
          <cell r="J260">
            <v>18.18</v>
          </cell>
        </row>
        <row r="261">
          <cell r="J261">
            <v>18.18</v>
          </cell>
        </row>
        <row r="262">
          <cell r="J262">
            <v>18.18</v>
          </cell>
        </row>
        <row r="263">
          <cell r="J263">
            <v>18.18</v>
          </cell>
        </row>
        <row r="264">
          <cell r="J264">
            <v>18.18</v>
          </cell>
        </row>
        <row r="265">
          <cell r="J265">
            <v>18.18</v>
          </cell>
        </row>
        <row r="266">
          <cell r="J266">
            <v>18.18</v>
          </cell>
        </row>
        <row r="267">
          <cell r="C267" t="str">
            <v>Conerly_Tim_25</v>
          </cell>
          <cell r="J267">
            <v>22.24</v>
          </cell>
        </row>
        <row r="268">
          <cell r="C268" t="str">
            <v>Fernandez_Tre_25</v>
          </cell>
          <cell r="J268">
            <v>22.03</v>
          </cell>
        </row>
        <row r="269">
          <cell r="C269" t="str">
            <v>Bass_Trey_25</v>
          </cell>
          <cell r="J269">
            <v>21.79</v>
          </cell>
        </row>
        <row r="270">
          <cell r="C270" t="str">
            <v>Nickens_Tye_25</v>
          </cell>
          <cell r="J270">
            <v>19.13</v>
          </cell>
        </row>
        <row r="271">
          <cell r="C271" t="str">
            <v>Smith_Warren_25</v>
          </cell>
          <cell r="J271">
            <v>20.27</v>
          </cell>
        </row>
        <row r="272">
          <cell r="C272" t="str">
            <v>Williams_Xavier_25</v>
          </cell>
          <cell r="J272">
            <v>19.27</v>
          </cell>
        </row>
        <row r="273">
          <cell r="C273" t="str">
            <v>Emerson_Yebrell_25</v>
          </cell>
          <cell r="J273">
            <v>21.61</v>
          </cell>
        </row>
        <row r="274">
          <cell r="J274">
            <v>20.71</v>
          </cell>
        </row>
        <row r="275">
          <cell r="J275">
            <v>20.71</v>
          </cell>
        </row>
        <row r="276">
          <cell r="J276">
            <v>20.71</v>
          </cell>
        </row>
        <row r="277">
          <cell r="J277">
            <v>20.71</v>
          </cell>
        </row>
        <row r="278">
          <cell r="J278">
            <v>20.71</v>
          </cell>
        </row>
        <row r="279">
          <cell r="J279">
            <v>20.71</v>
          </cell>
        </row>
        <row r="280">
          <cell r="J280">
            <v>20.71</v>
          </cell>
        </row>
        <row r="281">
          <cell r="J281">
            <v>20.71</v>
          </cell>
        </row>
        <row r="282">
          <cell r="J282">
            <v>20.71</v>
          </cell>
        </row>
        <row r="283">
          <cell r="J283">
            <v>20.71</v>
          </cell>
        </row>
        <row r="284">
          <cell r="J284">
            <v>20.71</v>
          </cell>
        </row>
        <row r="285">
          <cell r="J285">
            <v>20.71</v>
          </cell>
        </row>
        <row r="286">
          <cell r="J286">
            <v>20.71</v>
          </cell>
        </row>
        <row r="287">
          <cell r="J287">
            <v>20.71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 DASHBOARD"/>
      <sheetName val="Athlete Info"/>
      <sheetName val="DATA"/>
      <sheetName val="Body Weight"/>
      <sheetName val="List"/>
    </sheetNames>
    <sheetDataSet>
      <sheetData sheetId="0"/>
      <sheetData sheetId="1">
        <row r="2">
          <cell r="A2" t="str">
            <v>Williams Cardell</v>
          </cell>
          <cell r="B2" t="str">
            <v>QB</v>
          </cell>
          <cell r="C2">
            <v>6</v>
          </cell>
          <cell r="E2">
            <v>6025</v>
          </cell>
        </row>
        <row r="3">
          <cell r="A3" t="str">
            <v>Baker Luke</v>
          </cell>
          <cell r="B3" t="str">
            <v>QB</v>
          </cell>
          <cell r="C3">
            <v>7</v>
          </cell>
        </row>
        <row r="4">
          <cell r="A4" t="str">
            <v>Chavez Santino</v>
          </cell>
          <cell r="B4" t="str">
            <v>QB</v>
          </cell>
          <cell r="C4">
            <v>13</v>
          </cell>
          <cell r="E4">
            <v>5100</v>
          </cell>
        </row>
        <row r="5">
          <cell r="A5" t="str">
            <v>Conklin Carson</v>
          </cell>
          <cell r="B5" t="str">
            <v>QB</v>
          </cell>
          <cell r="C5">
            <v>17</v>
          </cell>
          <cell r="E5">
            <v>6005</v>
          </cell>
        </row>
        <row r="6">
          <cell r="A6" t="str">
            <v>Hammond Rodney</v>
          </cell>
          <cell r="B6" t="str">
            <v>RB</v>
          </cell>
          <cell r="C6">
            <v>2</v>
          </cell>
          <cell r="E6">
            <v>5091</v>
          </cell>
        </row>
        <row r="7">
          <cell r="A7" t="str">
            <v>Bryant Ajon</v>
          </cell>
          <cell r="B7" t="str">
            <v>RB</v>
          </cell>
          <cell r="C7">
            <v>3</v>
          </cell>
          <cell r="E7">
            <v>5060</v>
          </cell>
        </row>
        <row r="8">
          <cell r="A8" t="str">
            <v>Henderson Damien</v>
          </cell>
          <cell r="B8" t="str">
            <v>RB</v>
          </cell>
          <cell r="C8">
            <v>4</v>
          </cell>
          <cell r="E8">
            <v>6030</v>
          </cell>
        </row>
        <row r="9">
          <cell r="A9" t="str">
            <v>Curtis Jamar</v>
          </cell>
          <cell r="B9" t="str">
            <v>RB</v>
          </cell>
          <cell r="C9">
            <v>5</v>
          </cell>
          <cell r="E9">
            <v>5050</v>
          </cell>
        </row>
        <row r="10">
          <cell r="A10" t="str">
            <v>Burnett Zeke</v>
          </cell>
          <cell r="B10" t="str">
            <v>RB</v>
          </cell>
          <cell r="C10">
            <v>13</v>
          </cell>
          <cell r="E10">
            <v>5097</v>
          </cell>
        </row>
        <row r="11">
          <cell r="A11" t="str">
            <v>Borders Curron</v>
          </cell>
          <cell r="B11" t="str">
            <v>RB</v>
          </cell>
          <cell r="C11">
            <v>14</v>
          </cell>
          <cell r="E11">
            <v>5061</v>
          </cell>
        </row>
        <row r="12">
          <cell r="A12" t="str">
            <v>Johnson III Michael</v>
          </cell>
          <cell r="B12" t="str">
            <v>RB</v>
          </cell>
          <cell r="C12">
            <v>24</v>
          </cell>
          <cell r="E12">
            <v>5060</v>
          </cell>
        </row>
        <row r="13">
          <cell r="A13" t="str">
            <v>Morris Ardwon</v>
          </cell>
          <cell r="B13" t="str">
            <v>RB</v>
          </cell>
          <cell r="C13">
            <v>25</v>
          </cell>
          <cell r="E13">
            <v>5083</v>
          </cell>
        </row>
        <row r="14">
          <cell r="A14" t="str">
            <v>Norris Sammy</v>
          </cell>
          <cell r="B14" t="str">
            <v>RB</v>
          </cell>
          <cell r="C14">
            <v>38</v>
          </cell>
          <cell r="E14">
            <v>5107</v>
          </cell>
        </row>
        <row r="15">
          <cell r="A15" t="str">
            <v>Anderson Jordan</v>
          </cell>
          <cell r="B15" t="str">
            <v>WR</v>
          </cell>
          <cell r="C15">
            <v>0</v>
          </cell>
          <cell r="E15">
            <v>6002</v>
          </cell>
        </row>
        <row r="16">
          <cell r="A16" t="str">
            <v>McDaniel Damien</v>
          </cell>
          <cell r="B16" t="str">
            <v>WR</v>
          </cell>
          <cell r="C16">
            <v>1</v>
          </cell>
          <cell r="E16">
            <v>5117</v>
          </cell>
        </row>
        <row r="17">
          <cell r="A17" t="str">
            <v>Conerly Tim</v>
          </cell>
          <cell r="B17" t="str">
            <v>WR</v>
          </cell>
          <cell r="C17">
            <v>8</v>
          </cell>
          <cell r="E17">
            <v>5090</v>
          </cell>
        </row>
        <row r="18">
          <cell r="A18" t="str">
            <v>Hamilton Kai</v>
          </cell>
          <cell r="B18" t="str">
            <v>WR</v>
          </cell>
          <cell r="C18">
            <v>9</v>
          </cell>
          <cell r="E18">
            <v>6015</v>
          </cell>
        </row>
        <row r="19">
          <cell r="A19" t="str">
            <v>Wilson Jace</v>
          </cell>
          <cell r="B19" t="str">
            <v>WR</v>
          </cell>
          <cell r="C19">
            <v>10</v>
          </cell>
          <cell r="E19">
            <v>6046</v>
          </cell>
        </row>
        <row r="20">
          <cell r="A20" t="str">
            <v>Cope Makai</v>
          </cell>
          <cell r="B20" t="str">
            <v>WR</v>
          </cell>
          <cell r="C20">
            <v>11</v>
          </cell>
          <cell r="E20">
            <v>6032</v>
          </cell>
        </row>
        <row r="21">
          <cell r="A21" t="str">
            <v>Smith Onterrio</v>
          </cell>
          <cell r="B21" t="str">
            <v>WR</v>
          </cell>
          <cell r="C21">
            <v>12</v>
          </cell>
          <cell r="E21">
            <v>6020</v>
          </cell>
        </row>
        <row r="22">
          <cell r="A22" t="str">
            <v>Nicholson Joshua</v>
          </cell>
          <cell r="B22" t="str">
            <v>WR</v>
          </cell>
          <cell r="C22">
            <v>15</v>
          </cell>
          <cell r="E22">
            <v>5106</v>
          </cell>
        </row>
        <row r="23">
          <cell r="A23" t="str">
            <v>Anderson Hayden</v>
          </cell>
          <cell r="B23" t="str">
            <v>WR</v>
          </cell>
          <cell r="C23">
            <v>21</v>
          </cell>
          <cell r="E23">
            <v>6012</v>
          </cell>
        </row>
        <row r="24">
          <cell r="A24" t="str">
            <v>Fresques Jaxon</v>
          </cell>
          <cell r="B24" t="str">
            <v>WR</v>
          </cell>
          <cell r="C24">
            <v>83</v>
          </cell>
          <cell r="E24">
            <v>5063</v>
          </cell>
        </row>
        <row r="25">
          <cell r="A25" t="str">
            <v>Long Jathyn</v>
          </cell>
          <cell r="B25" t="str">
            <v>WR</v>
          </cell>
          <cell r="C25">
            <v>84</v>
          </cell>
          <cell r="E25">
            <v>6002</v>
          </cell>
        </row>
        <row r="26">
          <cell r="A26" t="str">
            <v>Auzenne Jason</v>
          </cell>
          <cell r="B26" t="str">
            <v>WR</v>
          </cell>
          <cell r="C26">
            <v>89</v>
          </cell>
          <cell r="E26">
            <v>5114</v>
          </cell>
        </row>
        <row r="27">
          <cell r="A27" t="str">
            <v>Williams Jordan</v>
          </cell>
          <cell r="B27" t="str">
            <v>TE</v>
          </cell>
          <cell r="C27">
            <v>16</v>
          </cell>
          <cell r="E27">
            <v>6052</v>
          </cell>
        </row>
        <row r="28">
          <cell r="A28" t="str">
            <v>Koontz Kyle</v>
          </cell>
          <cell r="B28" t="str">
            <v>TE</v>
          </cell>
          <cell r="C28">
            <v>18</v>
          </cell>
        </row>
        <row r="29">
          <cell r="A29" t="str">
            <v>Logan Tanner</v>
          </cell>
          <cell r="B29" t="str">
            <v>TE</v>
          </cell>
          <cell r="C29">
            <v>19</v>
          </cell>
          <cell r="E29">
            <v>6031</v>
          </cell>
        </row>
        <row r="30">
          <cell r="A30" t="str">
            <v>Poe Tommy</v>
          </cell>
          <cell r="B30" t="str">
            <v>TE</v>
          </cell>
          <cell r="C30">
            <v>80</v>
          </cell>
          <cell r="E30">
            <v>6051</v>
          </cell>
        </row>
        <row r="31">
          <cell r="A31" t="str">
            <v>Flaig Jaiden</v>
          </cell>
          <cell r="B31" t="str">
            <v>TE</v>
          </cell>
          <cell r="C31">
            <v>81</v>
          </cell>
          <cell r="E31">
            <v>6053</v>
          </cell>
        </row>
        <row r="32">
          <cell r="A32" t="str">
            <v>Kuntz Coleman</v>
          </cell>
          <cell r="B32" t="str">
            <v>TE</v>
          </cell>
          <cell r="C32">
            <v>82</v>
          </cell>
          <cell r="E32">
            <v>6033</v>
          </cell>
        </row>
        <row r="33">
          <cell r="A33" t="str">
            <v>Huddle Elijah</v>
          </cell>
          <cell r="B33" t="str">
            <v>WR</v>
          </cell>
          <cell r="C33">
            <v>85</v>
          </cell>
          <cell r="E33">
            <v>6031</v>
          </cell>
        </row>
        <row r="34">
          <cell r="A34" t="str">
            <v>Nelson Gavin</v>
          </cell>
          <cell r="B34" t="str">
            <v>TE</v>
          </cell>
          <cell r="C34">
            <v>87</v>
          </cell>
          <cell r="E34">
            <v>6027</v>
          </cell>
        </row>
        <row r="35">
          <cell r="A35" t="str">
            <v>Ambuehl Davis</v>
          </cell>
          <cell r="B35" t="str">
            <v>TE</v>
          </cell>
          <cell r="C35">
            <v>86</v>
          </cell>
          <cell r="E35">
            <v>6083</v>
          </cell>
        </row>
        <row r="36">
          <cell r="A36" t="str">
            <v>Speno Joe</v>
          </cell>
          <cell r="B36" t="str">
            <v>OL</v>
          </cell>
          <cell r="C36">
            <v>51</v>
          </cell>
          <cell r="E36">
            <v>6022</v>
          </cell>
        </row>
        <row r="37">
          <cell r="A37" t="str">
            <v>Pongia Tangi</v>
          </cell>
          <cell r="B37" t="str">
            <v>OL</v>
          </cell>
          <cell r="C37">
            <v>52</v>
          </cell>
          <cell r="E37">
            <v>6020</v>
          </cell>
        </row>
        <row r="38">
          <cell r="A38" t="str">
            <v>Ortiz Elijah</v>
          </cell>
          <cell r="B38" t="str">
            <v>OL</v>
          </cell>
          <cell r="C38">
            <v>53</v>
          </cell>
          <cell r="E38">
            <v>6002</v>
          </cell>
        </row>
        <row r="39">
          <cell r="A39" t="str">
            <v>Follette Declan</v>
          </cell>
          <cell r="B39" t="str">
            <v>OL</v>
          </cell>
          <cell r="C39">
            <v>57</v>
          </cell>
          <cell r="E39">
            <v>6010</v>
          </cell>
        </row>
        <row r="40">
          <cell r="A40" t="str">
            <v>Riley Kenndel</v>
          </cell>
          <cell r="B40" t="str">
            <v>OL</v>
          </cell>
          <cell r="C40">
            <v>62</v>
          </cell>
          <cell r="E40">
            <v>6032</v>
          </cell>
        </row>
        <row r="41">
          <cell r="A41" t="str">
            <v>Sousa Brandon</v>
          </cell>
          <cell r="B41" t="str">
            <v>OL</v>
          </cell>
          <cell r="C41">
            <v>64</v>
          </cell>
          <cell r="E41">
            <v>6034</v>
          </cell>
        </row>
        <row r="42">
          <cell r="A42" t="str">
            <v>Gretlein Cade</v>
          </cell>
          <cell r="B42" t="str">
            <v>OL</v>
          </cell>
          <cell r="C42">
            <v>65</v>
          </cell>
          <cell r="E42">
            <v>6033</v>
          </cell>
        </row>
        <row r="43">
          <cell r="A43" t="str">
            <v>Kovacs Gio</v>
          </cell>
          <cell r="B43" t="str">
            <v>OL</v>
          </cell>
          <cell r="C43">
            <v>66</v>
          </cell>
          <cell r="E43">
            <v>6036</v>
          </cell>
        </row>
        <row r="44">
          <cell r="A44" t="str">
            <v>Slater Luke</v>
          </cell>
          <cell r="B44" t="str">
            <v>OL</v>
          </cell>
          <cell r="C44">
            <v>67</v>
          </cell>
          <cell r="E44">
            <v>6016</v>
          </cell>
        </row>
        <row r="45">
          <cell r="A45" t="str">
            <v>May Davis</v>
          </cell>
          <cell r="B45" t="str">
            <v>OL</v>
          </cell>
          <cell r="C45">
            <v>68</v>
          </cell>
          <cell r="E45">
            <v>6040</v>
          </cell>
        </row>
        <row r="46">
          <cell r="A46" t="str">
            <v>Summers Bryson</v>
          </cell>
          <cell r="B46" t="str">
            <v>OL</v>
          </cell>
          <cell r="C46">
            <v>71</v>
          </cell>
          <cell r="E46">
            <v>6053</v>
          </cell>
        </row>
        <row r="47">
          <cell r="A47" t="str">
            <v>Hays Sawyer</v>
          </cell>
          <cell r="B47" t="str">
            <v>OL</v>
          </cell>
          <cell r="C47">
            <v>72</v>
          </cell>
          <cell r="E47">
            <v>6050</v>
          </cell>
        </row>
        <row r="48">
          <cell r="A48" t="str">
            <v>Soto Jose</v>
          </cell>
          <cell r="B48" t="str">
            <v>OL</v>
          </cell>
          <cell r="C48">
            <v>73</v>
          </cell>
          <cell r="E48">
            <v>6034</v>
          </cell>
        </row>
        <row r="49">
          <cell r="A49" t="str">
            <v>Meek Aidan</v>
          </cell>
          <cell r="B49" t="str">
            <v>OL</v>
          </cell>
          <cell r="C49">
            <v>74</v>
          </cell>
          <cell r="E49">
            <v>6056</v>
          </cell>
        </row>
        <row r="50">
          <cell r="A50" t="str">
            <v>Adbullah Dean</v>
          </cell>
          <cell r="B50" t="str">
            <v>OL</v>
          </cell>
          <cell r="C50">
            <v>76</v>
          </cell>
          <cell r="E50">
            <v>6040</v>
          </cell>
        </row>
        <row r="51">
          <cell r="A51" t="str">
            <v>Wright Joey</v>
          </cell>
          <cell r="B51" t="str">
            <v>OL</v>
          </cell>
          <cell r="C51">
            <v>77</v>
          </cell>
          <cell r="E51">
            <v>6052</v>
          </cell>
        </row>
        <row r="52">
          <cell r="A52" t="str">
            <v>McKay Richard</v>
          </cell>
          <cell r="B52" t="str">
            <v>OL</v>
          </cell>
          <cell r="C52">
            <v>78</v>
          </cell>
          <cell r="E52">
            <v>6052</v>
          </cell>
        </row>
        <row r="53">
          <cell r="A53" t="str">
            <v>Meadors Grant</v>
          </cell>
          <cell r="B53" t="str">
            <v>K</v>
          </cell>
          <cell r="C53">
            <v>49</v>
          </cell>
          <cell r="E53">
            <v>5104</v>
          </cell>
        </row>
        <row r="54">
          <cell r="A54" t="str">
            <v>Firebaugh Joseph</v>
          </cell>
          <cell r="B54" t="str">
            <v>K</v>
          </cell>
          <cell r="C54">
            <v>99</v>
          </cell>
          <cell r="E54">
            <v>6010</v>
          </cell>
        </row>
        <row r="55">
          <cell r="A55" t="str">
            <v>Melanson Mike</v>
          </cell>
          <cell r="B55" t="str">
            <v>P</v>
          </cell>
          <cell r="C55">
            <v>46</v>
          </cell>
          <cell r="E55">
            <v>5110</v>
          </cell>
        </row>
        <row r="56">
          <cell r="A56" t="str">
            <v>McGough Cal</v>
          </cell>
          <cell r="B56" t="str">
            <v>P</v>
          </cell>
          <cell r="C56">
            <v>91</v>
          </cell>
          <cell r="E56">
            <v>6016</v>
          </cell>
        </row>
        <row r="57">
          <cell r="A57" t="str">
            <v>McDowell Connor</v>
          </cell>
          <cell r="B57" t="str">
            <v>LS</v>
          </cell>
          <cell r="C57">
            <v>37</v>
          </cell>
          <cell r="E57">
            <v>5111</v>
          </cell>
        </row>
        <row r="58">
          <cell r="A58" t="str">
            <v>Johnston Adam</v>
          </cell>
          <cell r="B58" t="str">
            <v>LS</v>
          </cell>
          <cell r="C58">
            <v>47</v>
          </cell>
          <cell r="E58">
            <v>6001</v>
          </cell>
        </row>
        <row r="59">
          <cell r="A59" t="str">
            <v>Schalde Will</v>
          </cell>
          <cell r="B59" t="str">
            <v>DL</v>
          </cell>
          <cell r="C59">
            <v>44</v>
          </cell>
          <cell r="E59">
            <v>6051</v>
          </cell>
        </row>
        <row r="60">
          <cell r="A60" t="str">
            <v>Williams Xavier</v>
          </cell>
          <cell r="B60" t="str">
            <v>DL</v>
          </cell>
          <cell r="C60">
            <v>45</v>
          </cell>
          <cell r="E60">
            <v>6023</v>
          </cell>
        </row>
        <row r="61">
          <cell r="A61" t="str">
            <v>Stahlecker Kyle</v>
          </cell>
          <cell r="B61" t="str">
            <v>DL</v>
          </cell>
          <cell r="C61">
            <v>55</v>
          </cell>
          <cell r="E61">
            <v>6055</v>
          </cell>
        </row>
        <row r="62">
          <cell r="A62" t="str">
            <v>McGlothen Jayland</v>
          </cell>
          <cell r="B62" t="str">
            <v>DL</v>
          </cell>
          <cell r="C62">
            <v>58</v>
          </cell>
          <cell r="E62">
            <v>6014</v>
          </cell>
        </row>
        <row r="63">
          <cell r="A63" t="str">
            <v>Watts Desean</v>
          </cell>
          <cell r="B63" t="str">
            <v>DL</v>
          </cell>
          <cell r="C63">
            <v>59</v>
          </cell>
          <cell r="E63">
            <v>6002</v>
          </cell>
        </row>
        <row r="64">
          <cell r="A64" t="str">
            <v>Henry Tyler</v>
          </cell>
          <cell r="B64" t="str">
            <v>DL</v>
          </cell>
          <cell r="C64">
            <v>75</v>
          </cell>
          <cell r="E64">
            <v>6010</v>
          </cell>
        </row>
        <row r="65">
          <cell r="A65" t="str">
            <v>Bailey Miles</v>
          </cell>
          <cell r="B65" t="str">
            <v>DL</v>
          </cell>
          <cell r="C65">
            <v>92</v>
          </cell>
          <cell r="E65">
            <v>6036</v>
          </cell>
        </row>
        <row r="66">
          <cell r="A66" t="str">
            <v>Kolodziej Asher</v>
          </cell>
          <cell r="B66" t="str">
            <v>DL</v>
          </cell>
          <cell r="C66">
            <v>93</v>
          </cell>
          <cell r="E66">
            <v>6006</v>
          </cell>
        </row>
        <row r="67">
          <cell r="A67" t="str">
            <v>Savala Mario</v>
          </cell>
          <cell r="B67" t="str">
            <v>DL</v>
          </cell>
          <cell r="C67">
            <v>94</v>
          </cell>
          <cell r="E67">
            <v>6033</v>
          </cell>
        </row>
        <row r="68">
          <cell r="A68" t="str">
            <v>Brosseau Mason</v>
          </cell>
          <cell r="B68" t="str">
            <v>DL</v>
          </cell>
          <cell r="C68">
            <v>95</v>
          </cell>
          <cell r="E68">
            <v>6016</v>
          </cell>
        </row>
        <row r="69">
          <cell r="A69" t="str">
            <v>Hansen Elijah</v>
          </cell>
          <cell r="B69" t="str">
            <v>DL</v>
          </cell>
          <cell r="C69">
            <v>96</v>
          </cell>
          <cell r="E69">
            <v>6014</v>
          </cell>
        </row>
        <row r="70">
          <cell r="A70" t="str">
            <v>Tagaloa Brodie</v>
          </cell>
          <cell r="B70" t="str">
            <v>DL</v>
          </cell>
          <cell r="C70">
            <v>97</v>
          </cell>
          <cell r="E70">
            <v>6044</v>
          </cell>
        </row>
        <row r="71">
          <cell r="A71" t="str">
            <v>Kraft Carter</v>
          </cell>
          <cell r="B71" t="str">
            <v>OLB</v>
          </cell>
          <cell r="C71">
            <v>6</v>
          </cell>
          <cell r="E71">
            <v>5113</v>
          </cell>
        </row>
        <row r="72">
          <cell r="A72" t="str">
            <v>Conley Keith</v>
          </cell>
          <cell r="B72" t="str">
            <v>OLB</v>
          </cell>
          <cell r="C72">
            <v>11</v>
          </cell>
          <cell r="E72">
            <v>6014</v>
          </cell>
        </row>
        <row r="73">
          <cell r="A73" t="str">
            <v>Scott Brennon</v>
          </cell>
          <cell r="B73" t="str">
            <v>OLB</v>
          </cell>
          <cell r="C73">
            <v>14</v>
          </cell>
          <cell r="E73">
            <v>6014</v>
          </cell>
        </row>
        <row r="74">
          <cell r="A74" t="str">
            <v>Puloka Fata</v>
          </cell>
          <cell r="B74" t="str">
            <v>OLB</v>
          </cell>
          <cell r="C74">
            <v>18</v>
          </cell>
          <cell r="E74">
            <v>6030</v>
          </cell>
        </row>
        <row r="75">
          <cell r="A75" t="str">
            <v>Cashiola Josh</v>
          </cell>
          <cell r="B75" t="str">
            <v>OLB</v>
          </cell>
          <cell r="C75">
            <v>19</v>
          </cell>
          <cell r="E75">
            <v>6024</v>
          </cell>
        </row>
        <row r="76">
          <cell r="A76" t="str">
            <v>Aguilar Josh</v>
          </cell>
          <cell r="B76" t="str">
            <v>OLB</v>
          </cell>
          <cell r="C76">
            <v>31</v>
          </cell>
          <cell r="E76">
            <v>6021</v>
          </cell>
        </row>
        <row r="77">
          <cell r="A77" t="str">
            <v>Hunter Amarian</v>
          </cell>
          <cell r="B77" t="str">
            <v>OLB</v>
          </cell>
          <cell r="C77">
            <v>34</v>
          </cell>
          <cell r="E77">
            <v>6015</v>
          </cell>
        </row>
        <row r="78">
          <cell r="A78" t="str">
            <v>Snowden Jordan</v>
          </cell>
          <cell r="B78" t="str">
            <v>OLB</v>
          </cell>
          <cell r="C78">
            <v>48</v>
          </cell>
          <cell r="E78">
            <v>6040</v>
          </cell>
        </row>
        <row r="79">
          <cell r="A79" t="str">
            <v>Hernandez Riley</v>
          </cell>
          <cell r="B79" t="str">
            <v>OLB</v>
          </cell>
          <cell r="C79">
            <v>54</v>
          </cell>
          <cell r="E79">
            <v>6023</v>
          </cell>
        </row>
        <row r="80">
          <cell r="A80" t="str">
            <v>Genilla Garren</v>
          </cell>
          <cell r="B80" t="str">
            <v>OLB</v>
          </cell>
          <cell r="C80">
            <v>98</v>
          </cell>
          <cell r="E80">
            <v>6031</v>
          </cell>
        </row>
        <row r="81">
          <cell r="A81" t="str">
            <v>Jackson Nakian</v>
          </cell>
          <cell r="B81" t="str">
            <v>ILB</v>
          </cell>
          <cell r="C81">
            <v>4</v>
          </cell>
          <cell r="E81">
            <v>6007</v>
          </cell>
        </row>
        <row r="82">
          <cell r="A82" t="str">
            <v>Fa’Asuamanu Taison</v>
          </cell>
          <cell r="B82" t="str">
            <v>ILB</v>
          </cell>
          <cell r="C82">
            <v>27</v>
          </cell>
          <cell r="E82">
            <v>6015</v>
          </cell>
        </row>
        <row r="83">
          <cell r="A83" t="str">
            <v>Eskridge Matthew</v>
          </cell>
          <cell r="B83" t="str">
            <v>ILB</v>
          </cell>
          <cell r="C83">
            <v>32</v>
          </cell>
          <cell r="E83">
            <v>6002</v>
          </cell>
        </row>
        <row r="84">
          <cell r="A84" t="str">
            <v>Rocha Alex</v>
          </cell>
          <cell r="B84" t="str">
            <v>ILB</v>
          </cell>
          <cell r="C84">
            <v>33</v>
          </cell>
          <cell r="E84">
            <v>6010</v>
          </cell>
        </row>
        <row r="85">
          <cell r="A85" t="str">
            <v>Boedekker Hunter</v>
          </cell>
          <cell r="B85" t="str">
            <v>ILB</v>
          </cell>
          <cell r="C85">
            <v>35</v>
          </cell>
          <cell r="E85">
            <v>6003</v>
          </cell>
        </row>
        <row r="86">
          <cell r="A86" t="str">
            <v>Davis Diego</v>
          </cell>
          <cell r="B86" t="str">
            <v>ILB</v>
          </cell>
          <cell r="C86">
            <v>36</v>
          </cell>
          <cell r="E86">
            <v>5117</v>
          </cell>
        </row>
        <row r="87">
          <cell r="A87" t="str">
            <v>Houston Derek</v>
          </cell>
          <cell r="B87" t="str">
            <v>ILB</v>
          </cell>
          <cell r="C87">
            <v>39</v>
          </cell>
          <cell r="E87">
            <v>6006</v>
          </cell>
        </row>
        <row r="88">
          <cell r="A88" t="str">
            <v>Jackson Chase</v>
          </cell>
          <cell r="B88" t="str">
            <v>ILB</v>
          </cell>
          <cell r="C88">
            <v>41</v>
          </cell>
          <cell r="E88">
            <v>5116</v>
          </cell>
        </row>
        <row r="89">
          <cell r="A89" t="str">
            <v>Bennette-Roberts Jerome</v>
          </cell>
          <cell r="B89" t="str">
            <v>ILB</v>
          </cell>
          <cell r="C89">
            <v>42</v>
          </cell>
          <cell r="E89">
            <v>5110</v>
          </cell>
        </row>
        <row r="90">
          <cell r="A90" t="str">
            <v>Lee Ricky</v>
          </cell>
          <cell r="B90" t="str">
            <v>CB</v>
          </cell>
          <cell r="C90">
            <v>0</v>
          </cell>
          <cell r="E90">
            <v>5110</v>
          </cell>
        </row>
        <row r="91">
          <cell r="A91" t="str">
            <v>Burton Darren</v>
          </cell>
          <cell r="B91" t="str">
            <v>CB</v>
          </cell>
          <cell r="C91">
            <v>2</v>
          </cell>
          <cell r="E91">
            <v>5095</v>
          </cell>
        </row>
        <row r="92">
          <cell r="A92" t="str">
            <v>Vedder Zelmar</v>
          </cell>
          <cell r="B92" t="str">
            <v>CB</v>
          </cell>
          <cell r="C92">
            <v>9</v>
          </cell>
          <cell r="E92">
            <v>6011</v>
          </cell>
        </row>
        <row r="93">
          <cell r="A93" t="str">
            <v>Oliver Jason</v>
          </cell>
          <cell r="B93" t="str">
            <v>CB</v>
          </cell>
          <cell r="C93">
            <v>12</v>
          </cell>
          <cell r="E93">
            <v>5115</v>
          </cell>
        </row>
        <row r="94">
          <cell r="A94" t="str">
            <v>Christian Tim</v>
          </cell>
          <cell r="B94" t="str">
            <v>CB</v>
          </cell>
          <cell r="C94">
            <v>15</v>
          </cell>
          <cell r="E94">
            <v>5085</v>
          </cell>
        </row>
        <row r="95">
          <cell r="A95" t="str">
            <v>Taylor Adam</v>
          </cell>
          <cell r="B95" t="str">
            <v>CB</v>
          </cell>
          <cell r="C95">
            <v>20</v>
          </cell>
          <cell r="E95">
            <v>5096</v>
          </cell>
        </row>
        <row r="96">
          <cell r="A96" t="str">
            <v>Mullican Elias</v>
          </cell>
          <cell r="B96" t="str">
            <v>CB</v>
          </cell>
          <cell r="C96">
            <v>22</v>
          </cell>
          <cell r="E96">
            <v>6007</v>
          </cell>
        </row>
        <row r="97">
          <cell r="A97" t="str">
            <v>Johnson-Burrell Lamont</v>
          </cell>
          <cell r="B97" t="str">
            <v>CB</v>
          </cell>
          <cell r="C97">
            <v>23</v>
          </cell>
          <cell r="E97">
            <v>6030</v>
          </cell>
        </row>
        <row r="98">
          <cell r="A98" t="str">
            <v>Lands Christopher</v>
          </cell>
          <cell r="B98" t="str">
            <v>CB</v>
          </cell>
          <cell r="C98">
            <v>27</v>
          </cell>
          <cell r="E98">
            <v>5082</v>
          </cell>
        </row>
        <row r="99">
          <cell r="A99" t="str">
            <v>Keene Steven</v>
          </cell>
          <cell r="B99" t="str">
            <v>CB</v>
          </cell>
          <cell r="C99">
            <v>88</v>
          </cell>
          <cell r="E99">
            <v>6025</v>
          </cell>
        </row>
        <row r="100">
          <cell r="A100" t="str">
            <v>Davis Jayden</v>
          </cell>
          <cell r="B100" t="str">
            <v>SAF</v>
          </cell>
          <cell r="C100">
            <v>5</v>
          </cell>
          <cell r="E100">
            <v>6001</v>
          </cell>
        </row>
        <row r="101">
          <cell r="A101" t="str">
            <v>Williams Jalen</v>
          </cell>
          <cell r="B101" t="str">
            <v>SAF</v>
          </cell>
          <cell r="C101">
            <v>7</v>
          </cell>
          <cell r="E101">
            <v>5110</v>
          </cell>
        </row>
        <row r="102">
          <cell r="A102" t="str">
            <v>Allen Daizon</v>
          </cell>
          <cell r="B102" t="str">
            <v>SAF</v>
          </cell>
          <cell r="C102">
            <v>8</v>
          </cell>
          <cell r="E102">
            <v>5114</v>
          </cell>
        </row>
        <row r="103">
          <cell r="A103" t="str">
            <v>Solis Jojo</v>
          </cell>
          <cell r="B103" t="str">
            <v>SAF</v>
          </cell>
          <cell r="C103">
            <v>10</v>
          </cell>
          <cell r="E103">
            <v>5111</v>
          </cell>
        </row>
        <row r="104">
          <cell r="A104" t="str">
            <v>Emerson Yebrell</v>
          </cell>
          <cell r="B104" t="str">
            <v>SAF</v>
          </cell>
          <cell r="C104">
            <v>13</v>
          </cell>
          <cell r="E104">
            <v>6010</v>
          </cell>
        </row>
        <row r="105">
          <cell r="A105" t="str">
            <v>Higgins Kaleb</v>
          </cell>
          <cell r="B105" t="str">
            <v>SAF</v>
          </cell>
          <cell r="C105">
            <v>16</v>
          </cell>
          <cell r="E105">
            <v>6020</v>
          </cell>
        </row>
        <row r="106">
          <cell r="A106" t="str">
            <v>McKenzie Anta' Veon</v>
          </cell>
          <cell r="B106" t="str">
            <v>SAF</v>
          </cell>
          <cell r="C106">
            <v>17</v>
          </cell>
          <cell r="E106">
            <v>6020</v>
          </cell>
        </row>
        <row r="107">
          <cell r="A107" t="str">
            <v>Butler DeJuan</v>
          </cell>
          <cell r="B107" t="str">
            <v>SAF</v>
          </cell>
          <cell r="C107">
            <v>28</v>
          </cell>
          <cell r="E107">
            <v>5114</v>
          </cell>
        </row>
        <row r="108">
          <cell r="A108" t="str">
            <v>Akui Koa</v>
          </cell>
          <cell r="B108" t="str">
            <v>SAF</v>
          </cell>
          <cell r="C108">
            <v>29</v>
          </cell>
          <cell r="E108">
            <v>5106</v>
          </cell>
        </row>
        <row r="109">
          <cell r="A109" t="str">
            <v>Patton Spencer</v>
          </cell>
          <cell r="B109" t="str">
            <v>DL</v>
          </cell>
          <cell r="C109">
            <v>98</v>
          </cell>
          <cell r="E109">
            <v>6000</v>
          </cell>
        </row>
        <row r="110">
          <cell r="A110" t="str">
            <v>Vi Pita</v>
          </cell>
          <cell r="B110" t="str">
            <v>LB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 Baseline"/>
      <sheetName val="Clean_Bench"/>
      <sheetName val="Clean_Squat"/>
      <sheetName val="BW"/>
      <sheetName val="Bench Maxes"/>
      <sheetName val="Squat Maxes"/>
      <sheetName val="Clean Maxes"/>
      <sheetName val="Sheet2"/>
      <sheetName val="Sheet1"/>
      <sheetName val="MPH Maxes"/>
      <sheetName val="Athlete_Peak_Accel_Decel_Speed_"/>
      <sheetName val="Sheet3"/>
      <sheetName val="CLean_LV_Profiles"/>
      <sheetName val="OLD Vertec"/>
    </sheetNames>
    <sheetDataSet>
      <sheetData sheetId="0"/>
      <sheetData sheetId="1"/>
      <sheetData sheetId="2"/>
      <sheetData sheetId="3">
        <row r="2">
          <cell r="B2">
            <v>45855</v>
          </cell>
          <cell r="C2">
            <v>294.60000000000002</v>
          </cell>
          <cell r="D2" t="str">
            <v>Abdullah_Dean_25</v>
          </cell>
        </row>
        <row r="3">
          <cell r="B3">
            <v>45855</v>
          </cell>
          <cell r="C3">
            <v>222</v>
          </cell>
          <cell r="D3" t="str">
            <v>Adams_Sam_25</v>
          </cell>
        </row>
        <row r="4">
          <cell r="B4">
            <v>45855</v>
          </cell>
          <cell r="C4">
            <v>188</v>
          </cell>
          <cell r="D4" t="str">
            <v>Akui_Koa_25</v>
          </cell>
        </row>
        <row r="5">
          <cell r="B5">
            <v>45855</v>
          </cell>
          <cell r="C5">
            <v>262.8</v>
          </cell>
          <cell r="D5" t="str">
            <v>Ambuehl_Davis_25</v>
          </cell>
        </row>
        <row r="6">
          <cell r="B6">
            <v>45855</v>
          </cell>
          <cell r="C6">
            <v>204.2</v>
          </cell>
          <cell r="D6" t="str">
            <v>Anderson_Hayden_25</v>
          </cell>
        </row>
        <row r="7">
          <cell r="B7">
            <v>45855</v>
          </cell>
          <cell r="C7">
            <v>173.6</v>
          </cell>
          <cell r="D7" t="str">
            <v>Anderson_Jordan_25</v>
          </cell>
        </row>
        <row r="8">
          <cell r="B8">
            <v>45855</v>
          </cell>
          <cell r="C8">
            <v>287.60000000000002</v>
          </cell>
          <cell r="D8" t="str">
            <v>Bailey_Miles_25</v>
          </cell>
        </row>
        <row r="9">
          <cell r="B9">
            <v>45855</v>
          </cell>
          <cell r="C9">
            <v>190.2</v>
          </cell>
          <cell r="D9" t="str">
            <v>Bass_Trey_25</v>
          </cell>
        </row>
        <row r="10">
          <cell r="B10">
            <v>45855</v>
          </cell>
          <cell r="C10">
            <v>219.6</v>
          </cell>
          <cell r="D10" t="str">
            <v>Boeddeker_Hunter_25</v>
          </cell>
        </row>
        <row r="11">
          <cell r="B11">
            <v>45855</v>
          </cell>
          <cell r="C11">
            <v>199.2</v>
          </cell>
          <cell r="D11" t="str">
            <v>Borders_Curron_25</v>
          </cell>
        </row>
        <row r="12">
          <cell r="B12">
            <v>45855</v>
          </cell>
          <cell r="C12">
            <v>231.2</v>
          </cell>
          <cell r="D12" t="str">
            <v>Brown_Elias_25</v>
          </cell>
        </row>
        <row r="13">
          <cell r="B13">
            <v>45855</v>
          </cell>
          <cell r="C13">
            <v>162</v>
          </cell>
          <cell r="D13" t="str">
            <v>Bryant_Ajon_25</v>
          </cell>
        </row>
        <row r="14">
          <cell r="B14">
            <v>45855</v>
          </cell>
          <cell r="C14">
            <v>205.3</v>
          </cell>
          <cell r="D14" t="str">
            <v>Cahoon_Jackson_25</v>
          </cell>
        </row>
        <row r="15">
          <cell r="B15">
            <v>45855</v>
          </cell>
          <cell r="C15">
            <v>140.6</v>
          </cell>
          <cell r="D15" t="str">
            <v>Campbell_Ernest_25</v>
          </cell>
        </row>
        <row r="16">
          <cell r="B16">
            <v>45855</v>
          </cell>
          <cell r="C16">
            <v>232.8</v>
          </cell>
          <cell r="D16" t="str">
            <v>Cashiola_Josh_25</v>
          </cell>
        </row>
        <row r="17">
          <cell r="B17">
            <v>45855</v>
          </cell>
          <cell r="C17">
            <v>178.8</v>
          </cell>
          <cell r="D17" t="str">
            <v>Chouteau_Lono_25</v>
          </cell>
        </row>
        <row r="18">
          <cell r="B18">
            <v>45855</v>
          </cell>
          <cell r="C18">
            <v>160.6</v>
          </cell>
          <cell r="D18" t="str">
            <v>Conerly_Tim_25</v>
          </cell>
        </row>
        <row r="19">
          <cell r="B19">
            <v>45855</v>
          </cell>
          <cell r="C19">
            <v>170.8</v>
          </cell>
          <cell r="D19" t="str">
            <v>Curtis_Jamar_25</v>
          </cell>
        </row>
        <row r="20">
          <cell r="B20">
            <v>45855</v>
          </cell>
          <cell r="C20">
            <v>232.6</v>
          </cell>
          <cell r="D20" t="str">
            <v>Davis_Diego_25</v>
          </cell>
        </row>
        <row r="21">
          <cell r="B21">
            <v>45855</v>
          </cell>
          <cell r="C21">
            <v>196.2</v>
          </cell>
          <cell r="D21" t="str">
            <v>Emerson_Yebrell_25</v>
          </cell>
        </row>
        <row r="22">
          <cell r="B22">
            <v>45855</v>
          </cell>
          <cell r="C22">
            <v>229</v>
          </cell>
          <cell r="D22" t="str">
            <v>Eskridge_Matthew_25</v>
          </cell>
        </row>
        <row r="23">
          <cell r="B23">
            <v>45855</v>
          </cell>
          <cell r="C23">
            <v>175.8</v>
          </cell>
          <cell r="D23" t="str">
            <v>Fernandez_Tre_25</v>
          </cell>
        </row>
        <row r="24">
          <cell r="B24">
            <v>45855</v>
          </cell>
          <cell r="C24">
            <v>186.8</v>
          </cell>
          <cell r="D24" t="str">
            <v>Firebaugh_Joseph_25</v>
          </cell>
        </row>
        <row r="25">
          <cell r="B25">
            <v>45855</v>
          </cell>
          <cell r="C25">
            <v>168.8</v>
          </cell>
          <cell r="D25" t="str">
            <v>Fresques_Jaxon_25</v>
          </cell>
        </row>
        <row r="26">
          <cell r="B26">
            <v>45855</v>
          </cell>
          <cell r="C26">
            <v>191.2</v>
          </cell>
          <cell r="D26" t="str">
            <v>Garner_Drey_25</v>
          </cell>
        </row>
        <row r="27">
          <cell r="B27">
            <v>45855</v>
          </cell>
          <cell r="C27">
            <v>310.2</v>
          </cell>
          <cell r="D27" t="str">
            <v>Gillespie_James_25</v>
          </cell>
        </row>
        <row r="28">
          <cell r="B28">
            <v>45855</v>
          </cell>
          <cell r="C28">
            <v>219.6</v>
          </cell>
          <cell r="D28" t="str">
            <v>Gooden_Dylan_25</v>
          </cell>
        </row>
        <row r="29">
          <cell r="B29">
            <v>45855</v>
          </cell>
          <cell r="C29">
            <v>187.2</v>
          </cell>
          <cell r="D29" t="str">
            <v>Gordon_Diesel_25</v>
          </cell>
        </row>
        <row r="30">
          <cell r="B30">
            <v>45855</v>
          </cell>
          <cell r="C30">
            <v>293.2</v>
          </cell>
          <cell r="D30" t="str">
            <v>Gretlein_Cade_25</v>
          </cell>
        </row>
        <row r="31">
          <cell r="B31">
            <v>45855</v>
          </cell>
          <cell r="C31">
            <v>193.6</v>
          </cell>
          <cell r="D31" t="str">
            <v>Hall_Agiye_25</v>
          </cell>
        </row>
        <row r="32">
          <cell r="B32">
            <v>45855</v>
          </cell>
          <cell r="C32">
            <v>192</v>
          </cell>
          <cell r="D32" t="str">
            <v>Hammond_Rodney_25</v>
          </cell>
        </row>
        <row r="33">
          <cell r="B33">
            <v>45855</v>
          </cell>
          <cell r="C33">
            <v>239.6</v>
          </cell>
          <cell r="D33" t="str">
            <v>Hampsten_Dylan_25</v>
          </cell>
        </row>
        <row r="34">
          <cell r="B34">
            <v>45855</v>
          </cell>
          <cell r="C34">
            <v>293.2</v>
          </cell>
          <cell r="D34" t="str">
            <v>Hays_Sawyer_25</v>
          </cell>
        </row>
        <row r="35">
          <cell r="B35">
            <v>45855</v>
          </cell>
          <cell r="C35">
            <v>204.8</v>
          </cell>
          <cell r="D35" t="str">
            <v>Henderson_Damian_25</v>
          </cell>
        </row>
        <row r="36">
          <cell r="B36">
            <v>45855</v>
          </cell>
          <cell r="C36">
            <v>338.4</v>
          </cell>
          <cell r="D36" t="str">
            <v>Herman_Jordan_25</v>
          </cell>
        </row>
        <row r="37">
          <cell r="B37">
            <v>45855</v>
          </cell>
          <cell r="C37">
            <v>195.8</v>
          </cell>
          <cell r="D37" t="str">
            <v>Higgins_Kaleb_25</v>
          </cell>
        </row>
        <row r="38">
          <cell r="B38">
            <v>45855</v>
          </cell>
          <cell r="C38">
            <v>182.4</v>
          </cell>
          <cell r="D38" t="str">
            <v>Hood_Jamal_25</v>
          </cell>
        </row>
        <row r="39">
          <cell r="B39">
            <v>45855</v>
          </cell>
          <cell r="C39">
            <v>229.8</v>
          </cell>
          <cell r="D39" t="str">
            <v>Houston_Derek_25</v>
          </cell>
        </row>
        <row r="40">
          <cell r="B40">
            <v>45855</v>
          </cell>
          <cell r="C40">
            <v>215.1</v>
          </cell>
          <cell r="D40" t="str">
            <v>Huddle_Elijah_25</v>
          </cell>
        </row>
        <row r="41">
          <cell r="B41">
            <v>45855</v>
          </cell>
          <cell r="C41">
            <v>301.8</v>
          </cell>
          <cell r="D41" t="str">
            <v>Jefferson_Jordan_25</v>
          </cell>
        </row>
        <row r="42">
          <cell r="B42">
            <v>45855</v>
          </cell>
          <cell r="C42">
            <v>202</v>
          </cell>
          <cell r="D42" t="str">
            <v>Jefferson_KJ_25</v>
          </cell>
        </row>
        <row r="43">
          <cell r="B43">
            <v>45855</v>
          </cell>
          <cell r="C43">
            <v>188</v>
          </cell>
          <cell r="D43" t="str">
            <v>Johnson-Burrell_Lamont_25</v>
          </cell>
        </row>
        <row r="44">
          <cell r="B44">
            <v>45855</v>
          </cell>
          <cell r="C44">
            <v>213.4</v>
          </cell>
          <cell r="D44" t="str">
            <v>Johnston_Adam_25</v>
          </cell>
        </row>
        <row r="45">
          <cell r="B45">
            <v>45855</v>
          </cell>
          <cell r="C45">
            <v>231.4</v>
          </cell>
          <cell r="D45" t="str">
            <v>Jones_Jekob_25</v>
          </cell>
        </row>
        <row r="46">
          <cell r="B46">
            <v>45855</v>
          </cell>
          <cell r="C46">
            <v>331.8</v>
          </cell>
          <cell r="D46" t="str">
            <v>Kindle_Malachi_25</v>
          </cell>
        </row>
        <row r="47">
          <cell r="B47">
            <v>45855</v>
          </cell>
          <cell r="C47">
            <v>304</v>
          </cell>
          <cell r="D47" t="str">
            <v>Kovacs_Giovanni_25</v>
          </cell>
        </row>
        <row r="48">
          <cell r="B48">
            <v>45855</v>
          </cell>
          <cell r="C48">
            <v>290.2</v>
          </cell>
          <cell r="D48" t="str">
            <v>Lee_Graysen_25</v>
          </cell>
        </row>
        <row r="49">
          <cell r="B49">
            <v>45855</v>
          </cell>
          <cell r="C49">
            <v>161.19999999999999</v>
          </cell>
          <cell r="D49" t="str">
            <v>Lee_Ricky_25</v>
          </cell>
        </row>
        <row r="50">
          <cell r="B50">
            <v>45855</v>
          </cell>
          <cell r="C50">
            <v>205.6</v>
          </cell>
          <cell r="D50" t="str">
            <v>Malone_Jamar_25</v>
          </cell>
        </row>
        <row r="51">
          <cell r="B51">
            <v>45855</v>
          </cell>
          <cell r="C51">
            <v>326.2</v>
          </cell>
          <cell r="D51" t="str">
            <v>May_Davis_25</v>
          </cell>
        </row>
        <row r="52">
          <cell r="B52">
            <v>45855</v>
          </cell>
          <cell r="C52">
            <v>178.2</v>
          </cell>
          <cell r="D52" t="str">
            <v>McDaniel_Damien_25</v>
          </cell>
        </row>
        <row r="53">
          <cell r="B53">
            <v>45855</v>
          </cell>
          <cell r="C53">
            <v>189.2</v>
          </cell>
          <cell r="D53" t="str">
            <v>McDowell_Connor_25</v>
          </cell>
        </row>
        <row r="54">
          <cell r="B54">
            <v>45855</v>
          </cell>
          <cell r="C54">
            <v>278.39999999999998</v>
          </cell>
          <cell r="D54" t="str">
            <v>McGlothen_Jayland_25</v>
          </cell>
        </row>
        <row r="55">
          <cell r="B55">
            <v>45855</v>
          </cell>
          <cell r="C55">
            <v>200.8</v>
          </cell>
          <cell r="D55" t="str">
            <v>McGough_Cal_25</v>
          </cell>
        </row>
        <row r="56">
          <cell r="B56">
            <v>45855</v>
          </cell>
          <cell r="C56">
            <v>290.60000000000002</v>
          </cell>
          <cell r="D56" t="str">
            <v>McKay_Richard_25</v>
          </cell>
        </row>
        <row r="57">
          <cell r="B57">
            <v>45855</v>
          </cell>
          <cell r="C57">
            <v>194</v>
          </cell>
          <cell r="D57" t="str">
            <v>McKenzie_Anta'Veon_25</v>
          </cell>
        </row>
        <row r="58">
          <cell r="B58">
            <v>45855</v>
          </cell>
          <cell r="C58">
            <v>180.2</v>
          </cell>
          <cell r="D58" t="str">
            <v>Meadors_Grant_25</v>
          </cell>
        </row>
        <row r="59">
          <cell r="B59">
            <v>45855</v>
          </cell>
          <cell r="C59">
            <v>296.39999999999998</v>
          </cell>
          <cell r="D59" t="str">
            <v>Meek_Aidan_25</v>
          </cell>
        </row>
        <row r="60">
          <cell r="B60">
            <v>45855</v>
          </cell>
          <cell r="C60">
            <v>185</v>
          </cell>
          <cell r="D60" t="str">
            <v>Melanson_Mike_25</v>
          </cell>
        </row>
        <row r="61">
          <cell r="B61">
            <v>45855</v>
          </cell>
          <cell r="C61">
            <v>202.4</v>
          </cell>
          <cell r="D61" t="str">
            <v>Mitchell_Naytel_25</v>
          </cell>
        </row>
        <row r="62">
          <cell r="B62">
            <v>45855</v>
          </cell>
          <cell r="C62">
            <v>322.8</v>
          </cell>
          <cell r="D62" t="str">
            <v>Moore_Jaxon_25</v>
          </cell>
        </row>
        <row r="63">
          <cell r="B63">
            <v>45855</v>
          </cell>
          <cell r="C63">
            <v>212.3</v>
          </cell>
          <cell r="D63" t="str">
            <v>Moore_Oscar_25</v>
          </cell>
        </row>
        <row r="64">
          <cell r="B64">
            <v>45855</v>
          </cell>
          <cell r="C64">
            <v>235</v>
          </cell>
          <cell r="D64" t="str">
            <v>Mosley_Micah_25</v>
          </cell>
        </row>
        <row r="65">
          <cell r="B65">
            <v>45855</v>
          </cell>
          <cell r="C65">
            <v>175.8</v>
          </cell>
          <cell r="D65" t="str">
            <v>Mullican_Elias_25</v>
          </cell>
        </row>
        <row r="66">
          <cell r="B66">
            <v>45855</v>
          </cell>
          <cell r="C66">
            <v>192.2</v>
          </cell>
          <cell r="D66" t="str">
            <v>NA</v>
          </cell>
        </row>
        <row r="67">
          <cell r="B67">
            <v>45855</v>
          </cell>
          <cell r="C67">
            <v>233.6</v>
          </cell>
          <cell r="D67" t="str">
            <v>Nelson_Gavin_25</v>
          </cell>
        </row>
        <row r="68">
          <cell r="B68">
            <v>45855</v>
          </cell>
          <cell r="C68">
            <v>171.4</v>
          </cell>
          <cell r="D68" t="str">
            <v>Nickens_Tye_25</v>
          </cell>
        </row>
        <row r="69">
          <cell r="B69">
            <v>45855</v>
          </cell>
          <cell r="C69">
            <v>255</v>
          </cell>
          <cell r="D69" t="str">
            <v>Norris_Sammy_25</v>
          </cell>
        </row>
        <row r="70">
          <cell r="B70">
            <v>45855</v>
          </cell>
          <cell r="C70">
            <v>174</v>
          </cell>
          <cell r="D70" t="str">
            <v>Oliver_Jason_25</v>
          </cell>
        </row>
        <row r="71">
          <cell r="B71">
            <v>45855</v>
          </cell>
          <cell r="C71">
            <v>300.3</v>
          </cell>
          <cell r="D71" t="str">
            <v>Ortiz_Elijah_25</v>
          </cell>
        </row>
        <row r="72">
          <cell r="B72">
            <v>45855</v>
          </cell>
          <cell r="C72">
            <v>227.8</v>
          </cell>
          <cell r="D72" t="str">
            <v>Puloka_Fata_25</v>
          </cell>
        </row>
        <row r="73">
          <cell r="B73">
            <v>45855</v>
          </cell>
          <cell r="C73">
            <v>187</v>
          </cell>
          <cell r="D73" t="str">
            <v>Rashada_Jaden_25</v>
          </cell>
        </row>
        <row r="74">
          <cell r="B74">
            <v>45855</v>
          </cell>
          <cell r="C74">
            <v>234.2</v>
          </cell>
          <cell r="D74" t="str">
            <v>Red_Savion_25</v>
          </cell>
        </row>
        <row r="75">
          <cell r="B75">
            <v>45855</v>
          </cell>
          <cell r="C75">
            <v>190</v>
          </cell>
          <cell r="D75" t="str">
            <v>Reese_Caleb_25</v>
          </cell>
        </row>
        <row r="76">
          <cell r="B76">
            <v>45855</v>
          </cell>
          <cell r="C76">
            <v>311.2</v>
          </cell>
          <cell r="D76" t="str">
            <v>Riley_Kenndel_25</v>
          </cell>
        </row>
        <row r="77">
          <cell r="B77">
            <v>45855</v>
          </cell>
          <cell r="C77">
            <v>218.8</v>
          </cell>
          <cell r="D77" t="str">
            <v>Robinson_Dontae_25</v>
          </cell>
        </row>
        <row r="78">
          <cell r="B78">
            <v>45855</v>
          </cell>
          <cell r="C78">
            <v>175.2</v>
          </cell>
          <cell r="D78" t="str">
            <v>Robinson_Jayden_25</v>
          </cell>
        </row>
        <row r="79">
          <cell r="B79">
            <v>45855</v>
          </cell>
          <cell r="C79">
            <v>219.2</v>
          </cell>
          <cell r="D79" t="str">
            <v>Rocha_Alex_25</v>
          </cell>
        </row>
        <row r="80">
          <cell r="B80">
            <v>45855</v>
          </cell>
          <cell r="C80">
            <v>265.60000000000002</v>
          </cell>
          <cell r="D80" t="str">
            <v>Ross_Kris_25</v>
          </cell>
        </row>
        <row r="81">
          <cell r="B81">
            <v>45855</v>
          </cell>
          <cell r="C81">
            <v>242.2</v>
          </cell>
          <cell r="D81" t="str">
            <v>Scott_Brennon_25</v>
          </cell>
        </row>
        <row r="82">
          <cell r="B82">
            <v>45855</v>
          </cell>
          <cell r="C82">
            <v>344.4</v>
          </cell>
          <cell r="D82" t="str">
            <v>Sheffield_DeAnthony_25</v>
          </cell>
        </row>
        <row r="83">
          <cell r="B83">
            <v>45855</v>
          </cell>
          <cell r="C83">
            <v>265.2</v>
          </cell>
          <cell r="D83" t="str">
            <v>Slater_Luke_25</v>
          </cell>
        </row>
        <row r="84">
          <cell r="B84">
            <v>45855</v>
          </cell>
          <cell r="C84">
            <v>181.8</v>
          </cell>
          <cell r="D84" t="str">
            <v>Smith_Jaquail_25</v>
          </cell>
        </row>
        <row r="85">
          <cell r="B85">
            <v>45855</v>
          </cell>
          <cell r="C85">
            <v>186.8</v>
          </cell>
          <cell r="D85" t="str">
            <v>Smith_Onterrio_25</v>
          </cell>
        </row>
        <row r="86">
          <cell r="B86">
            <v>45855</v>
          </cell>
          <cell r="C86">
            <v>186.2</v>
          </cell>
          <cell r="D86" t="str">
            <v>Smith_Warren_25</v>
          </cell>
        </row>
        <row r="87">
          <cell r="B87">
            <v>45855</v>
          </cell>
          <cell r="C87">
            <v>190.8</v>
          </cell>
          <cell r="D87" t="str">
            <v>Solis_Jojo_25</v>
          </cell>
        </row>
        <row r="88">
          <cell r="B88">
            <v>45855</v>
          </cell>
          <cell r="C88">
            <v>308.60000000000002</v>
          </cell>
          <cell r="D88" t="str">
            <v>Soto_Jose_25</v>
          </cell>
        </row>
        <row r="89">
          <cell r="B89">
            <v>45855</v>
          </cell>
          <cell r="C89">
            <v>304.39999999999998</v>
          </cell>
          <cell r="D89" t="str">
            <v>Sousa_Brandon_25</v>
          </cell>
        </row>
        <row r="90">
          <cell r="B90">
            <v>45855</v>
          </cell>
          <cell r="C90">
            <v>282.2</v>
          </cell>
          <cell r="D90" t="str">
            <v>Speno_Joseph_25</v>
          </cell>
        </row>
        <row r="91">
          <cell r="B91">
            <v>45855</v>
          </cell>
          <cell r="C91">
            <v>345.8</v>
          </cell>
          <cell r="D91" t="str">
            <v>Stallworth_Jeremiah_25</v>
          </cell>
        </row>
        <row r="92">
          <cell r="B92">
            <v>45855</v>
          </cell>
          <cell r="C92">
            <v>314.8</v>
          </cell>
          <cell r="D92" t="str">
            <v>Summers_Bryson_25</v>
          </cell>
        </row>
        <row r="93">
          <cell r="B93">
            <v>45855</v>
          </cell>
          <cell r="C93">
            <v>285.3</v>
          </cell>
          <cell r="D93" t="str">
            <v>Tagaloa_Brodie_25</v>
          </cell>
        </row>
        <row r="94">
          <cell r="B94">
            <v>45855</v>
          </cell>
          <cell r="C94">
            <v>230</v>
          </cell>
          <cell r="D94" t="str">
            <v>Tanner_Logan_25</v>
          </cell>
        </row>
        <row r="95">
          <cell r="B95">
            <v>45855</v>
          </cell>
          <cell r="C95">
            <v>164.8</v>
          </cell>
          <cell r="D95" t="str">
            <v>Taylor_Adam_25</v>
          </cell>
        </row>
        <row r="96">
          <cell r="B96">
            <v>45855</v>
          </cell>
          <cell r="C96">
            <v>194.8</v>
          </cell>
          <cell r="D96" t="str">
            <v>Taylor_Mike_25</v>
          </cell>
        </row>
        <row r="97">
          <cell r="B97">
            <v>45855</v>
          </cell>
          <cell r="C97">
            <v>267.2</v>
          </cell>
          <cell r="D97" t="str">
            <v>Tenney_Bear_25</v>
          </cell>
        </row>
        <row r="98">
          <cell r="B98">
            <v>45855</v>
          </cell>
          <cell r="C98">
            <v>190.2</v>
          </cell>
          <cell r="D98" t="str">
            <v>Thomson_Gavin_25</v>
          </cell>
        </row>
        <row r="99">
          <cell r="B99">
            <v>45855</v>
          </cell>
          <cell r="C99">
            <v>283.2</v>
          </cell>
          <cell r="D99" t="str">
            <v>Tullis_Malik_25</v>
          </cell>
        </row>
        <row r="100">
          <cell r="B100">
            <v>45855</v>
          </cell>
          <cell r="C100">
            <v>240.4</v>
          </cell>
          <cell r="D100" t="str">
            <v>Vi_Pita_25</v>
          </cell>
        </row>
        <row r="101">
          <cell r="B101">
            <v>45855</v>
          </cell>
          <cell r="C101">
            <v>182.4</v>
          </cell>
          <cell r="D101" t="str">
            <v>Williams_Cardell_25</v>
          </cell>
        </row>
        <row r="102">
          <cell r="B102">
            <v>45855</v>
          </cell>
          <cell r="C102">
            <v>191.2</v>
          </cell>
          <cell r="D102" t="str">
            <v>Williams_Jalen_25</v>
          </cell>
        </row>
        <row r="103">
          <cell r="B103">
            <v>45855</v>
          </cell>
          <cell r="C103">
            <v>221.8</v>
          </cell>
          <cell r="D103" t="str">
            <v>Williams_Jordan_25</v>
          </cell>
        </row>
        <row r="104">
          <cell r="B104">
            <v>45855</v>
          </cell>
          <cell r="C104">
            <v>248.8</v>
          </cell>
          <cell r="D104" t="str">
            <v>Williams_Xavier_25</v>
          </cell>
        </row>
        <row r="105">
          <cell r="B105">
            <v>45855</v>
          </cell>
          <cell r="C105">
            <v>218.4</v>
          </cell>
          <cell r="D105" t="str">
            <v>Wilson_Jace_25</v>
          </cell>
        </row>
        <row r="106">
          <cell r="B106">
            <v>45855</v>
          </cell>
          <cell r="C106">
            <v>205.2</v>
          </cell>
          <cell r="D106" t="str">
            <v>Wright_Deven_25</v>
          </cell>
        </row>
        <row r="107">
          <cell r="B107">
            <v>45853</v>
          </cell>
          <cell r="C107">
            <v>293.30399999999997</v>
          </cell>
          <cell r="D107" t="str">
            <v>Abdullah_Dean_25</v>
          </cell>
        </row>
        <row r="108">
          <cell r="B108">
            <v>45853</v>
          </cell>
          <cell r="C108">
            <v>217.93199999999999</v>
          </cell>
          <cell r="D108" t="str">
            <v>Adams_Sam_25</v>
          </cell>
        </row>
        <row r="109">
          <cell r="B109">
            <v>45853</v>
          </cell>
          <cell r="C109">
            <v>186.03200000000001</v>
          </cell>
          <cell r="D109" t="str">
            <v>Akui_Koa_25</v>
          </cell>
        </row>
        <row r="110">
          <cell r="B110">
            <v>45853</v>
          </cell>
          <cell r="C110">
            <v>267.80599999999998</v>
          </cell>
          <cell r="D110" t="str">
            <v>Ambuehl_Davis_25</v>
          </cell>
        </row>
        <row r="111">
          <cell r="B111">
            <v>45853</v>
          </cell>
          <cell r="C111">
            <v>202.35599999999999</v>
          </cell>
          <cell r="D111" t="str">
            <v>Anderson_Hayden_25</v>
          </cell>
        </row>
        <row r="112">
          <cell r="B112">
            <v>45853</v>
          </cell>
          <cell r="C112">
            <v>170.28</v>
          </cell>
          <cell r="D112" t="str">
            <v>Anderson_Jordan_25</v>
          </cell>
        </row>
        <row r="113">
          <cell r="B113">
            <v>45853</v>
          </cell>
          <cell r="C113">
            <v>287.25400000000002</v>
          </cell>
          <cell r="D113" t="str">
            <v>Bailey_Miles_25</v>
          </cell>
        </row>
        <row r="114">
          <cell r="B114">
            <v>45853</v>
          </cell>
          <cell r="C114">
            <v>190.27799999999999</v>
          </cell>
          <cell r="D114" t="str">
            <v>Bass_Trey_25</v>
          </cell>
        </row>
        <row r="115">
          <cell r="B115">
            <v>45853</v>
          </cell>
          <cell r="C115">
            <v>217.316</v>
          </cell>
          <cell r="D115" t="str">
            <v>Boeddeker_Hunter_25</v>
          </cell>
        </row>
        <row r="116">
          <cell r="B116">
            <v>45853</v>
          </cell>
          <cell r="C116">
            <v>230.31800000000001</v>
          </cell>
          <cell r="D116" t="str">
            <v>Brown_Elias_25</v>
          </cell>
        </row>
        <row r="117">
          <cell r="B117">
            <v>45853</v>
          </cell>
          <cell r="C117">
            <v>160.886</v>
          </cell>
          <cell r="D117" t="str">
            <v>Bryant_Ajon_25</v>
          </cell>
        </row>
        <row r="118">
          <cell r="B118">
            <v>45853</v>
          </cell>
          <cell r="C118">
            <v>189.244</v>
          </cell>
          <cell r="D118" t="str">
            <v>Butler_Dejuan_25</v>
          </cell>
        </row>
        <row r="119">
          <cell r="B119">
            <v>45853</v>
          </cell>
          <cell r="C119">
            <v>201.65199999999999</v>
          </cell>
          <cell r="D119" t="str">
            <v>Cahoon_Jackson_25</v>
          </cell>
        </row>
        <row r="120">
          <cell r="B120">
            <v>45853</v>
          </cell>
          <cell r="C120">
            <v>138.358</v>
          </cell>
          <cell r="D120" t="str">
            <v>Campbell_Ernest_25</v>
          </cell>
        </row>
        <row r="121">
          <cell r="B121">
            <v>45853</v>
          </cell>
          <cell r="C121">
            <v>231.99</v>
          </cell>
          <cell r="D121" t="str">
            <v>Cashiola_Josh_25</v>
          </cell>
        </row>
        <row r="122">
          <cell r="B122">
            <v>45853</v>
          </cell>
          <cell r="C122">
            <v>177.012</v>
          </cell>
          <cell r="D122" t="str">
            <v>Chouteau_Lono_25</v>
          </cell>
        </row>
        <row r="123">
          <cell r="B123">
            <v>45853</v>
          </cell>
          <cell r="C123">
            <v>156.816</v>
          </cell>
          <cell r="D123" t="str">
            <v>Conerly_Tim_25</v>
          </cell>
        </row>
        <row r="124">
          <cell r="B124">
            <v>45853</v>
          </cell>
          <cell r="C124">
            <v>171.20400000000001</v>
          </cell>
          <cell r="D124" t="str">
            <v>Curtis_Jamar_25</v>
          </cell>
        </row>
        <row r="125">
          <cell r="B125">
            <v>45853</v>
          </cell>
          <cell r="C125">
            <v>234.45400000000001</v>
          </cell>
          <cell r="D125" t="str">
            <v>Davis_Diego_25</v>
          </cell>
        </row>
        <row r="126">
          <cell r="B126">
            <v>45853</v>
          </cell>
          <cell r="C126">
            <v>200.09</v>
          </cell>
          <cell r="D126" t="str">
            <v>Emerson_Yebrell_25</v>
          </cell>
        </row>
        <row r="127">
          <cell r="B127">
            <v>45853</v>
          </cell>
          <cell r="C127">
            <v>228.47</v>
          </cell>
          <cell r="D127" t="str">
            <v>Eskridge_Matthew_25</v>
          </cell>
        </row>
        <row r="128">
          <cell r="B128">
            <v>45853</v>
          </cell>
          <cell r="C128">
            <v>173.316</v>
          </cell>
          <cell r="D128" t="str">
            <v>Fernandez_Tre_25</v>
          </cell>
        </row>
        <row r="129">
          <cell r="B129">
            <v>45853</v>
          </cell>
          <cell r="C129">
            <v>186.58199999999999</v>
          </cell>
          <cell r="D129" t="str">
            <v>Firebaugh_Joseph_25</v>
          </cell>
        </row>
        <row r="130">
          <cell r="B130">
            <v>45853</v>
          </cell>
          <cell r="C130">
            <v>169.97200000000001</v>
          </cell>
          <cell r="D130" t="str">
            <v>Fresques_Jaxon_25</v>
          </cell>
        </row>
        <row r="131">
          <cell r="B131">
            <v>45853</v>
          </cell>
          <cell r="C131">
            <v>192.96199999999999</v>
          </cell>
          <cell r="D131" t="str">
            <v>Garner_Drey_25</v>
          </cell>
        </row>
        <row r="132">
          <cell r="B132">
            <v>45853</v>
          </cell>
          <cell r="C132">
            <v>309.584</v>
          </cell>
          <cell r="D132" t="str">
            <v>Gillespie_James_25</v>
          </cell>
        </row>
        <row r="133">
          <cell r="B133">
            <v>45853</v>
          </cell>
          <cell r="C133">
            <v>217.71199999999999</v>
          </cell>
          <cell r="D133" t="str">
            <v>Gooden_Dylan_25</v>
          </cell>
        </row>
        <row r="134">
          <cell r="B134">
            <v>45853</v>
          </cell>
          <cell r="C134">
            <v>179.23400000000001</v>
          </cell>
          <cell r="D134" t="str">
            <v>Gordon_Diesel_25</v>
          </cell>
        </row>
        <row r="135">
          <cell r="B135">
            <v>45853</v>
          </cell>
          <cell r="C135">
            <v>294.05200000000002</v>
          </cell>
          <cell r="D135" t="str">
            <v>Gretlein_Cade_25</v>
          </cell>
        </row>
        <row r="136">
          <cell r="B136">
            <v>45853</v>
          </cell>
          <cell r="C136">
            <v>193.53399999999999</v>
          </cell>
          <cell r="D136" t="str">
            <v>Hall_Agiye_25</v>
          </cell>
        </row>
        <row r="137">
          <cell r="B137">
            <v>45853</v>
          </cell>
          <cell r="C137">
            <v>191.53200000000001</v>
          </cell>
          <cell r="D137" t="str">
            <v>Hammond_Rodney_25</v>
          </cell>
        </row>
        <row r="138">
          <cell r="B138">
            <v>45853</v>
          </cell>
          <cell r="C138">
            <v>239.8</v>
          </cell>
          <cell r="D138" t="str">
            <v>Hampsten_Dylan_25</v>
          </cell>
        </row>
        <row r="139">
          <cell r="B139">
            <v>45853</v>
          </cell>
          <cell r="C139">
            <v>293.21600000000001</v>
          </cell>
          <cell r="D139" t="str">
            <v>Hays_Sawyer_25</v>
          </cell>
        </row>
        <row r="140">
          <cell r="B140">
            <v>45853</v>
          </cell>
          <cell r="C140">
            <v>208.86799999999999</v>
          </cell>
          <cell r="D140" t="str">
            <v>Henderson_Damian_25</v>
          </cell>
        </row>
        <row r="141">
          <cell r="B141">
            <v>45853</v>
          </cell>
          <cell r="C141">
            <v>339.702</v>
          </cell>
          <cell r="D141" t="str">
            <v>Herman_Jordan_25</v>
          </cell>
        </row>
        <row r="142">
          <cell r="B142">
            <v>45853</v>
          </cell>
          <cell r="C142">
            <v>196.13</v>
          </cell>
          <cell r="D142" t="str">
            <v>Higgins_Kaleb_25</v>
          </cell>
        </row>
        <row r="143">
          <cell r="B143">
            <v>45853</v>
          </cell>
          <cell r="C143">
            <v>182.446</v>
          </cell>
          <cell r="D143" t="str">
            <v>Hood_Jamal_25</v>
          </cell>
        </row>
        <row r="144">
          <cell r="B144">
            <v>45853</v>
          </cell>
          <cell r="C144">
            <v>226.072</v>
          </cell>
          <cell r="D144" t="str">
            <v>Houston_Derek_25</v>
          </cell>
        </row>
        <row r="145">
          <cell r="B145">
            <v>45853</v>
          </cell>
          <cell r="C145">
            <v>212.01400000000001</v>
          </cell>
          <cell r="D145" t="str">
            <v>Huddle_Elijah_25</v>
          </cell>
        </row>
        <row r="146">
          <cell r="B146">
            <v>45853</v>
          </cell>
          <cell r="C146">
            <v>305.27199999999999</v>
          </cell>
          <cell r="D146" t="str">
            <v>Jefferson_Jordan_25</v>
          </cell>
        </row>
        <row r="147">
          <cell r="B147">
            <v>45853</v>
          </cell>
          <cell r="C147">
            <v>200.11199999999999</v>
          </cell>
          <cell r="D147" t="str">
            <v>Jefferson_KJ_25</v>
          </cell>
        </row>
        <row r="148">
          <cell r="B148">
            <v>45853</v>
          </cell>
          <cell r="C148">
            <v>188.34200000000001</v>
          </cell>
          <cell r="D148" t="str">
            <v>Johnson-Burrell_Lamont_25</v>
          </cell>
        </row>
        <row r="149">
          <cell r="B149">
            <v>45853</v>
          </cell>
          <cell r="C149">
            <v>210.298</v>
          </cell>
          <cell r="D149" t="str">
            <v>Johnston_Adam_25</v>
          </cell>
        </row>
        <row r="150">
          <cell r="B150">
            <v>45853</v>
          </cell>
          <cell r="C150">
            <v>332.50799999999998</v>
          </cell>
          <cell r="D150" t="str">
            <v>Kindle_Malachi_25</v>
          </cell>
        </row>
        <row r="151">
          <cell r="B151">
            <v>45853</v>
          </cell>
          <cell r="C151">
            <v>300.16800000000001</v>
          </cell>
          <cell r="D151" t="str">
            <v>Kovacs_Giovanni_25</v>
          </cell>
        </row>
        <row r="152">
          <cell r="B152">
            <v>45853</v>
          </cell>
          <cell r="C152">
            <v>164.01</v>
          </cell>
          <cell r="D152" t="str">
            <v>Lee_Ricky_25</v>
          </cell>
        </row>
        <row r="153">
          <cell r="B153">
            <v>45853</v>
          </cell>
          <cell r="C153">
            <v>207.65799999999999</v>
          </cell>
          <cell r="D153" t="str">
            <v>Malone_Jamar_25</v>
          </cell>
        </row>
        <row r="154">
          <cell r="B154">
            <v>45853</v>
          </cell>
          <cell r="C154">
            <v>348.65600000000001</v>
          </cell>
          <cell r="D154" t="str">
            <v>Massey_Syncere_25</v>
          </cell>
        </row>
        <row r="155">
          <cell r="B155">
            <v>45853</v>
          </cell>
          <cell r="C155">
            <v>331.93599999999998</v>
          </cell>
          <cell r="D155" t="str">
            <v>May_Davis_25</v>
          </cell>
        </row>
        <row r="156">
          <cell r="B156">
            <v>45853</v>
          </cell>
          <cell r="C156">
            <v>187.858</v>
          </cell>
          <cell r="D156" t="str">
            <v>McDowell_Connor_25</v>
          </cell>
        </row>
        <row r="157">
          <cell r="B157">
            <v>45853</v>
          </cell>
          <cell r="C157">
            <v>279.53199999999998</v>
          </cell>
          <cell r="D157" t="str">
            <v>McGlothen_Jayland_25</v>
          </cell>
        </row>
        <row r="158">
          <cell r="B158">
            <v>45853</v>
          </cell>
          <cell r="C158">
            <v>289.36599999999999</v>
          </cell>
          <cell r="D158" t="str">
            <v>McKay_Richard_25</v>
          </cell>
        </row>
        <row r="159">
          <cell r="B159">
            <v>45853</v>
          </cell>
          <cell r="C159">
            <v>193.27</v>
          </cell>
          <cell r="D159" t="str">
            <v>McKenzie_Anta'Veon_25</v>
          </cell>
        </row>
        <row r="160">
          <cell r="B160">
            <v>45853</v>
          </cell>
          <cell r="C160">
            <v>180.09200000000001</v>
          </cell>
          <cell r="D160" t="str">
            <v>Meadors_Grant_25</v>
          </cell>
        </row>
        <row r="161">
          <cell r="B161">
            <v>45853</v>
          </cell>
          <cell r="C161">
            <v>295.262</v>
          </cell>
          <cell r="D161" t="str">
            <v>Meek_Aidan_25</v>
          </cell>
        </row>
        <row r="162">
          <cell r="B162">
            <v>45853</v>
          </cell>
          <cell r="C162">
            <v>200.816</v>
          </cell>
          <cell r="D162" t="str">
            <v>Mitchell_Naytel_25</v>
          </cell>
        </row>
        <row r="163">
          <cell r="B163">
            <v>45853</v>
          </cell>
          <cell r="C163">
            <v>324.41199999999998</v>
          </cell>
          <cell r="D163" t="str">
            <v>Moore_Jaxon_25</v>
          </cell>
        </row>
        <row r="164">
          <cell r="B164">
            <v>45853</v>
          </cell>
          <cell r="C164">
            <v>211.00200000000001</v>
          </cell>
          <cell r="D164" t="str">
            <v>Moore_Oscar_25</v>
          </cell>
        </row>
        <row r="165">
          <cell r="B165">
            <v>45853</v>
          </cell>
          <cell r="C165">
            <v>230.51599999999999</v>
          </cell>
          <cell r="D165" t="str">
            <v>Mosley_Micah_25</v>
          </cell>
        </row>
        <row r="166">
          <cell r="B166">
            <v>45853</v>
          </cell>
          <cell r="C166">
            <v>173.8</v>
          </cell>
          <cell r="D166" t="str">
            <v>Mullican_Elias_25</v>
          </cell>
        </row>
        <row r="167">
          <cell r="B167">
            <v>45853</v>
          </cell>
          <cell r="C167">
            <v>189.79400000000001</v>
          </cell>
          <cell r="D167" t="str">
            <v>NA</v>
          </cell>
        </row>
        <row r="168">
          <cell r="B168">
            <v>45853</v>
          </cell>
          <cell r="C168">
            <v>232.364</v>
          </cell>
          <cell r="D168" t="str">
            <v>Nelson_Gavin_25</v>
          </cell>
        </row>
        <row r="169">
          <cell r="B169">
            <v>45853</v>
          </cell>
          <cell r="C169">
            <v>171.33600000000001</v>
          </cell>
          <cell r="D169" t="str">
            <v>Nickens_Tye_25</v>
          </cell>
        </row>
        <row r="170">
          <cell r="B170">
            <v>45853</v>
          </cell>
          <cell r="C170">
            <v>253.374</v>
          </cell>
          <cell r="D170" t="str">
            <v>Norris_Sammy_25</v>
          </cell>
        </row>
        <row r="171">
          <cell r="B171">
            <v>45853</v>
          </cell>
          <cell r="C171">
            <v>172.41399999999999</v>
          </cell>
          <cell r="D171" t="str">
            <v>Oliver_Jason_25</v>
          </cell>
        </row>
        <row r="172">
          <cell r="B172">
            <v>45853</v>
          </cell>
          <cell r="C172">
            <v>302.08199999999999</v>
          </cell>
          <cell r="D172" t="str">
            <v>Ortiz_Elijah_25</v>
          </cell>
        </row>
        <row r="173">
          <cell r="B173">
            <v>45853</v>
          </cell>
          <cell r="C173">
            <v>186.648</v>
          </cell>
          <cell r="D173" t="str">
            <v>Rashada_Jaden_25</v>
          </cell>
        </row>
        <row r="174">
          <cell r="B174">
            <v>45853</v>
          </cell>
          <cell r="C174">
            <v>190.23400000000001</v>
          </cell>
          <cell r="D174" t="str">
            <v>Reese_Caleb_25</v>
          </cell>
        </row>
        <row r="175">
          <cell r="B175">
            <v>45853</v>
          </cell>
          <cell r="C175">
            <v>312.99400000000003</v>
          </cell>
          <cell r="D175" t="str">
            <v>Riley_Kenndel_25</v>
          </cell>
        </row>
        <row r="176">
          <cell r="B176">
            <v>45853</v>
          </cell>
          <cell r="C176">
            <v>174.08600000000001</v>
          </cell>
          <cell r="D176" t="str">
            <v>Robinson_Jayden_25</v>
          </cell>
        </row>
        <row r="177">
          <cell r="B177">
            <v>45853</v>
          </cell>
          <cell r="C177">
            <v>217.27199999999999</v>
          </cell>
          <cell r="D177" t="str">
            <v>Rocha_Alex_25</v>
          </cell>
        </row>
        <row r="178">
          <cell r="B178">
            <v>45853</v>
          </cell>
          <cell r="C178">
            <v>241.07599999999999</v>
          </cell>
          <cell r="D178" t="str">
            <v>Scott_Brennon_25</v>
          </cell>
        </row>
        <row r="179">
          <cell r="B179">
            <v>45853</v>
          </cell>
          <cell r="C179">
            <v>267.25599999999997</v>
          </cell>
          <cell r="D179" t="str">
            <v>Slater_Luke_25</v>
          </cell>
        </row>
        <row r="180">
          <cell r="B180">
            <v>45853</v>
          </cell>
          <cell r="C180">
            <v>183.018</v>
          </cell>
          <cell r="D180" t="str">
            <v>Smith_Jaquail_25</v>
          </cell>
        </row>
        <row r="181">
          <cell r="B181">
            <v>45853</v>
          </cell>
          <cell r="C181">
            <v>185.46</v>
          </cell>
          <cell r="D181" t="str">
            <v>Smith_Onterrio_25</v>
          </cell>
        </row>
        <row r="182">
          <cell r="B182">
            <v>45853</v>
          </cell>
          <cell r="C182">
            <v>189.376</v>
          </cell>
          <cell r="D182" t="str">
            <v>Smith_Warren_25</v>
          </cell>
        </row>
        <row r="183">
          <cell r="B183">
            <v>45853</v>
          </cell>
          <cell r="C183">
            <v>308.81400000000002</v>
          </cell>
          <cell r="D183" t="str">
            <v>Soto_Jose_25</v>
          </cell>
        </row>
        <row r="184">
          <cell r="B184">
            <v>45853</v>
          </cell>
          <cell r="C184">
            <v>304.06200000000001</v>
          </cell>
          <cell r="D184" t="str">
            <v>Sousa_Brandon_25</v>
          </cell>
        </row>
        <row r="185">
          <cell r="B185">
            <v>45853</v>
          </cell>
          <cell r="C185">
            <v>281.09399999999999</v>
          </cell>
          <cell r="D185" t="str">
            <v>Speno_Joseph_25</v>
          </cell>
        </row>
        <row r="186">
          <cell r="B186">
            <v>45853</v>
          </cell>
          <cell r="C186">
            <v>343.92599999999999</v>
          </cell>
          <cell r="D186" t="str">
            <v>Stallworth_Jeremiah_25</v>
          </cell>
        </row>
        <row r="187">
          <cell r="B187">
            <v>45853</v>
          </cell>
          <cell r="C187">
            <v>315.56799999999998</v>
          </cell>
          <cell r="D187" t="str">
            <v>Summers_Bryson_25</v>
          </cell>
        </row>
        <row r="188">
          <cell r="B188">
            <v>45853</v>
          </cell>
          <cell r="C188">
            <v>290.774</v>
          </cell>
          <cell r="D188" t="str">
            <v>Tagaloa_Brodie_25</v>
          </cell>
        </row>
        <row r="189">
          <cell r="B189">
            <v>45853</v>
          </cell>
          <cell r="C189">
            <v>228.36</v>
          </cell>
          <cell r="D189" t="str">
            <v>Tanner_Logan_25</v>
          </cell>
        </row>
        <row r="190">
          <cell r="B190">
            <v>45853</v>
          </cell>
          <cell r="C190">
            <v>162.404</v>
          </cell>
          <cell r="D190" t="str">
            <v>Taylor_Adam_25</v>
          </cell>
        </row>
        <row r="191">
          <cell r="B191">
            <v>45853</v>
          </cell>
          <cell r="C191">
            <v>193.31399999999999</v>
          </cell>
          <cell r="D191" t="str">
            <v>Taylor_Mike_25</v>
          </cell>
        </row>
        <row r="192">
          <cell r="B192">
            <v>45853</v>
          </cell>
          <cell r="C192">
            <v>269.47800000000001</v>
          </cell>
          <cell r="D192" t="str">
            <v>Tenney_Bear_25</v>
          </cell>
        </row>
        <row r="193">
          <cell r="B193">
            <v>45853</v>
          </cell>
          <cell r="C193">
            <v>189.22200000000001</v>
          </cell>
          <cell r="D193" t="str">
            <v>Thomson_Gavin_25</v>
          </cell>
        </row>
        <row r="194">
          <cell r="B194">
            <v>45853</v>
          </cell>
          <cell r="C194">
            <v>281.75400000000002</v>
          </cell>
          <cell r="D194" t="str">
            <v>Tullis_Malik_25</v>
          </cell>
        </row>
        <row r="195">
          <cell r="B195">
            <v>45853</v>
          </cell>
          <cell r="C195">
            <v>237.77600000000001</v>
          </cell>
          <cell r="D195" t="str">
            <v>Vi_Pita_25</v>
          </cell>
        </row>
        <row r="196">
          <cell r="B196">
            <v>45853</v>
          </cell>
          <cell r="C196">
            <v>317.85599999999999</v>
          </cell>
          <cell r="D196" t="str">
            <v>Watts_DeSean_25</v>
          </cell>
        </row>
        <row r="197">
          <cell r="B197">
            <v>45853</v>
          </cell>
          <cell r="C197">
            <v>178.33199999999999</v>
          </cell>
          <cell r="D197" t="str">
            <v>Williams_Cardell_25</v>
          </cell>
        </row>
        <row r="198">
          <cell r="B198">
            <v>45853</v>
          </cell>
          <cell r="C198">
            <v>191.136</v>
          </cell>
          <cell r="D198" t="str">
            <v>Williams_Jalen_25</v>
          </cell>
        </row>
        <row r="199">
          <cell r="B199">
            <v>45853</v>
          </cell>
          <cell r="C199">
            <v>219.51599999999999</v>
          </cell>
          <cell r="D199" t="str">
            <v>Williams_Jordan_25</v>
          </cell>
        </row>
        <row r="200">
          <cell r="B200">
            <v>45853</v>
          </cell>
          <cell r="C200">
            <v>246.81800000000001</v>
          </cell>
          <cell r="D200" t="str">
            <v>Williams_Xavier_25</v>
          </cell>
        </row>
        <row r="201">
          <cell r="B201">
            <v>45853</v>
          </cell>
          <cell r="C201">
            <v>213.048</v>
          </cell>
          <cell r="D201" t="str">
            <v>Wilson_Jace_25</v>
          </cell>
        </row>
        <row r="202">
          <cell r="B202">
            <v>45853</v>
          </cell>
          <cell r="C202">
            <v>203.98400000000001</v>
          </cell>
          <cell r="D202" t="str">
            <v>Wright_Deven_25</v>
          </cell>
        </row>
        <row r="203">
          <cell r="B203">
            <v>45852</v>
          </cell>
          <cell r="C203">
            <v>296</v>
          </cell>
          <cell r="D203" t="str">
            <v>Abdullah_Dean_25</v>
          </cell>
        </row>
        <row r="204">
          <cell r="B204">
            <v>45852</v>
          </cell>
          <cell r="C204">
            <v>219.4</v>
          </cell>
          <cell r="D204" t="str">
            <v>Adams_Sam_25</v>
          </cell>
        </row>
        <row r="205">
          <cell r="B205">
            <v>45852</v>
          </cell>
          <cell r="C205">
            <v>187.8</v>
          </cell>
          <cell r="D205" t="str">
            <v>Akui_Koa_25</v>
          </cell>
        </row>
        <row r="206">
          <cell r="B206">
            <v>45852</v>
          </cell>
          <cell r="C206">
            <v>273.2</v>
          </cell>
          <cell r="D206" t="str">
            <v>Ambuehl_Davis_25</v>
          </cell>
        </row>
        <row r="207">
          <cell r="B207">
            <v>45852</v>
          </cell>
          <cell r="C207">
            <v>204</v>
          </cell>
          <cell r="D207" t="str">
            <v>Anderson_Hayden_25</v>
          </cell>
        </row>
        <row r="208">
          <cell r="B208">
            <v>45852</v>
          </cell>
          <cell r="C208">
            <v>173</v>
          </cell>
          <cell r="D208" t="str">
            <v>Anderson_Jordan_25</v>
          </cell>
        </row>
        <row r="209">
          <cell r="B209">
            <v>45852</v>
          </cell>
          <cell r="C209">
            <v>289.2</v>
          </cell>
          <cell r="D209" t="str">
            <v>Bailey_Miles_25</v>
          </cell>
        </row>
        <row r="210">
          <cell r="B210">
            <v>45852</v>
          </cell>
          <cell r="C210">
            <v>189.6</v>
          </cell>
          <cell r="D210" t="str">
            <v>Bass_Trey_25</v>
          </cell>
        </row>
        <row r="211">
          <cell r="B211">
            <v>45852</v>
          </cell>
          <cell r="C211">
            <v>218</v>
          </cell>
          <cell r="D211" t="str">
            <v>Boeddeker_Hunter_25</v>
          </cell>
        </row>
        <row r="212">
          <cell r="B212">
            <v>45852</v>
          </cell>
          <cell r="C212">
            <v>200.6</v>
          </cell>
          <cell r="D212" t="str">
            <v>Borders_Curron_25</v>
          </cell>
        </row>
        <row r="213">
          <cell r="B213">
            <v>45852</v>
          </cell>
          <cell r="C213">
            <v>230.8</v>
          </cell>
          <cell r="D213" t="str">
            <v>Brown_Elias_25</v>
          </cell>
        </row>
        <row r="214">
          <cell r="B214">
            <v>45852</v>
          </cell>
          <cell r="C214">
            <v>161.4</v>
          </cell>
          <cell r="D214" t="str">
            <v>Bryant_Ajon_25</v>
          </cell>
        </row>
        <row r="215">
          <cell r="B215">
            <v>45852</v>
          </cell>
          <cell r="C215">
            <v>204.2</v>
          </cell>
          <cell r="D215" t="str">
            <v>Cahoon_Jackson_25</v>
          </cell>
        </row>
        <row r="216">
          <cell r="B216">
            <v>45852</v>
          </cell>
          <cell r="C216">
            <v>137.80000000000001</v>
          </cell>
          <cell r="D216" t="str">
            <v>Campbell_Ernest_25</v>
          </cell>
        </row>
        <row r="217">
          <cell r="B217">
            <v>45852</v>
          </cell>
          <cell r="C217">
            <v>232</v>
          </cell>
          <cell r="D217" t="str">
            <v>Cashiola_Josh_25</v>
          </cell>
        </row>
        <row r="218">
          <cell r="B218">
            <v>45852</v>
          </cell>
          <cell r="C218">
            <v>179.8</v>
          </cell>
          <cell r="D218" t="str">
            <v>Chouteau_Lono_25</v>
          </cell>
        </row>
        <row r="219">
          <cell r="B219">
            <v>45852</v>
          </cell>
          <cell r="C219">
            <v>160.6</v>
          </cell>
          <cell r="D219" t="str">
            <v>Conerly_Tim_25</v>
          </cell>
        </row>
        <row r="220">
          <cell r="B220">
            <v>45852</v>
          </cell>
          <cell r="C220">
            <v>174.4</v>
          </cell>
          <cell r="D220" t="str">
            <v>Curtis_Jamar_25</v>
          </cell>
        </row>
        <row r="221">
          <cell r="B221">
            <v>45852</v>
          </cell>
          <cell r="C221">
            <v>233.8</v>
          </cell>
          <cell r="D221" t="str">
            <v>Davis_Diego_25</v>
          </cell>
        </row>
        <row r="222">
          <cell r="B222">
            <v>45852</v>
          </cell>
          <cell r="C222">
            <v>196.6</v>
          </cell>
          <cell r="D222" t="str">
            <v>Emerson_Yebrell_25</v>
          </cell>
        </row>
        <row r="223">
          <cell r="B223">
            <v>45852</v>
          </cell>
          <cell r="C223">
            <v>230.2</v>
          </cell>
          <cell r="D223" t="str">
            <v>Eskridge_Matthew_25</v>
          </cell>
        </row>
        <row r="224">
          <cell r="B224">
            <v>45852</v>
          </cell>
          <cell r="C224">
            <v>172.2</v>
          </cell>
          <cell r="D224" t="str">
            <v>Fernandez_Tre_25</v>
          </cell>
        </row>
        <row r="225">
          <cell r="B225">
            <v>45852</v>
          </cell>
          <cell r="C225">
            <v>185.4</v>
          </cell>
          <cell r="D225" t="str">
            <v>Firebaugh_Joseph_25</v>
          </cell>
        </row>
        <row r="226">
          <cell r="B226">
            <v>45852</v>
          </cell>
          <cell r="C226">
            <v>167</v>
          </cell>
          <cell r="D226" t="str">
            <v>Fresques_Jaxon_25</v>
          </cell>
        </row>
        <row r="227">
          <cell r="B227">
            <v>45852</v>
          </cell>
          <cell r="C227">
            <v>192.8</v>
          </cell>
          <cell r="D227" t="str">
            <v>Garner_Drey_25</v>
          </cell>
        </row>
        <row r="228">
          <cell r="B228">
            <v>45852</v>
          </cell>
          <cell r="C228">
            <v>313.2</v>
          </cell>
          <cell r="D228" t="str">
            <v>Gillespie_James_25</v>
          </cell>
        </row>
        <row r="229">
          <cell r="B229">
            <v>45852</v>
          </cell>
          <cell r="C229">
            <v>217.4</v>
          </cell>
          <cell r="D229" t="str">
            <v>Gooden_Dylan_25</v>
          </cell>
        </row>
        <row r="230">
          <cell r="B230">
            <v>45852</v>
          </cell>
          <cell r="C230">
            <v>183.6</v>
          </cell>
          <cell r="D230" t="str">
            <v>Gordon_Diesel_25</v>
          </cell>
        </row>
        <row r="231">
          <cell r="B231">
            <v>45852</v>
          </cell>
          <cell r="C231">
            <v>296.60000000000002</v>
          </cell>
          <cell r="D231" t="str">
            <v>Gretlein_Cade_25</v>
          </cell>
        </row>
        <row r="232">
          <cell r="B232">
            <v>45852</v>
          </cell>
          <cell r="C232">
            <v>194</v>
          </cell>
          <cell r="D232" t="str">
            <v>Hall_Agiye_25</v>
          </cell>
        </row>
        <row r="233">
          <cell r="B233">
            <v>45852</v>
          </cell>
          <cell r="C233">
            <v>193</v>
          </cell>
          <cell r="D233" t="str">
            <v>Hammond_Rodney_25</v>
          </cell>
        </row>
        <row r="234">
          <cell r="B234">
            <v>45852</v>
          </cell>
          <cell r="C234">
            <v>241.2</v>
          </cell>
          <cell r="D234" t="str">
            <v>Hampsten_Dylan_25</v>
          </cell>
        </row>
        <row r="235">
          <cell r="B235">
            <v>45852</v>
          </cell>
          <cell r="C235">
            <v>296</v>
          </cell>
          <cell r="D235" t="str">
            <v>Hays_Sawyer_25</v>
          </cell>
        </row>
        <row r="236">
          <cell r="B236">
            <v>45852</v>
          </cell>
          <cell r="C236">
            <v>206.6</v>
          </cell>
          <cell r="D236" t="str">
            <v>Henderson_Damian_25</v>
          </cell>
        </row>
        <row r="237">
          <cell r="B237">
            <v>45852</v>
          </cell>
          <cell r="C237">
            <v>339</v>
          </cell>
          <cell r="D237" t="str">
            <v>Herman_Jordan_25</v>
          </cell>
        </row>
        <row r="238">
          <cell r="B238">
            <v>45852</v>
          </cell>
          <cell r="C238">
            <v>197.4</v>
          </cell>
          <cell r="D238" t="str">
            <v>Higgins_Kaleb_25</v>
          </cell>
        </row>
        <row r="239">
          <cell r="B239">
            <v>45852</v>
          </cell>
          <cell r="C239">
            <v>184.4</v>
          </cell>
          <cell r="D239" t="str">
            <v>Hood_Jamal_25</v>
          </cell>
        </row>
        <row r="240">
          <cell r="B240">
            <v>45852</v>
          </cell>
          <cell r="C240">
            <v>228</v>
          </cell>
          <cell r="D240" t="str">
            <v>Houston_Derek_25</v>
          </cell>
        </row>
        <row r="241">
          <cell r="B241">
            <v>45852</v>
          </cell>
          <cell r="C241">
            <v>215.8</v>
          </cell>
          <cell r="D241" t="str">
            <v>Huddle_Elijah_25</v>
          </cell>
        </row>
        <row r="242">
          <cell r="B242">
            <v>45852</v>
          </cell>
          <cell r="C242">
            <v>303.8</v>
          </cell>
          <cell r="D242" t="str">
            <v>Jefferson_Jordan_25</v>
          </cell>
        </row>
        <row r="243">
          <cell r="B243">
            <v>45852</v>
          </cell>
          <cell r="C243">
            <v>203.8</v>
          </cell>
          <cell r="D243" t="str">
            <v>Jefferson_KJ_25</v>
          </cell>
        </row>
        <row r="244">
          <cell r="B244">
            <v>45852</v>
          </cell>
          <cell r="C244">
            <v>185.6</v>
          </cell>
          <cell r="D244" t="str">
            <v>Johnson-Burrell_Lamont_25</v>
          </cell>
        </row>
        <row r="245">
          <cell r="B245">
            <v>45852</v>
          </cell>
          <cell r="C245">
            <v>212.6</v>
          </cell>
          <cell r="D245" t="str">
            <v>Johnston_Adam_25</v>
          </cell>
        </row>
        <row r="246">
          <cell r="B246">
            <v>45852</v>
          </cell>
          <cell r="C246">
            <v>337</v>
          </cell>
          <cell r="D246" t="str">
            <v>Kindle_Malachi_25</v>
          </cell>
        </row>
        <row r="247">
          <cell r="B247">
            <v>45852</v>
          </cell>
          <cell r="C247">
            <v>305.39999999999998</v>
          </cell>
          <cell r="D247" t="str">
            <v>Kovacs_Giovanni_25</v>
          </cell>
        </row>
        <row r="248">
          <cell r="B248">
            <v>45852</v>
          </cell>
          <cell r="C248">
            <v>294.2</v>
          </cell>
          <cell r="D248" t="str">
            <v>Lee_Graysen_25</v>
          </cell>
        </row>
        <row r="249">
          <cell r="B249">
            <v>45852</v>
          </cell>
          <cell r="C249">
            <v>165.2</v>
          </cell>
          <cell r="D249" t="str">
            <v>Lee_Ricky_25</v>
          </cell>
        </row>
        <row r="250">
          <cell r="B250">
            <v>45852</v>
          </cell>
          <cell r="C250">
            <v>209</v>
          </cell>
          <cell r="D250" t="str">
            <v>Malone_Jamar_25</v>
          </cell>
        </row>
        <row r="251">
          <cell r="B251">
            <v>45852</v>
          </cell>
          <cell r="C251">
            <v>348.6</v>
          </cell>
          <cell r="D251" t="str">
            <v>Massey_Syncere_25</v>
          </cell>
        </row>
        <row r="252">
          <cell r="B252">
            <v>45852</v>
          </cell>
          <cell r="C252">
            <v>331.8</v>
          </cell>
          <cell r="D252" t="str">
            <v>May_Davis_25</v>
          </cell>
        </row>
        <row r="253">
          <cell r="B253">
            <v>45852</v>
          </cell>
          <cell r="C253">
            <v>176.6</v>
          </cell>
          <cell r="D253" t="str">
            <v>McDaniel_Damien_25</v>
          </cell>
        </row>
        <row r="254">
          <cell r="B254">
            <v>45852</v>
          </cell>
          <cell r="C254">
            <v>188.6</v>
          </cell>
          <cell r="D254" t="str">
            <v>McDowell_Connor_25</v>
          </cell>
        </row>
        <row r="255">
          <cell r="B255">
            <v>45852</v>
          </cell>
          <cell r="C255">
            <v>277.39999999999998</v>
          </cell>
          <cell r="D255" t="str">
            <v>McGlothen_Jayland_25</v>
          </cell>
        </row>
        <row r="256">
          <cell r="B256">
            <v>45852</v>
          </cell>
          <cell r="C256">
            <v>198.2</v>
          </cell>
          <cell r="D256" t="str">
            <v>McGough_Cal_25</v>
          </cell>
        </row>
        <row r="257">
          <cell r="B257">
            <v>45852</v>
          </cell>
          <cell r="C257">
            <v>297</v>
          </cell>
          <cell r="D257" t="str">
            <v>McKay_Richard_25</v>
          </cell>
        </row>
        <row r="258">
          <cell r="B258">
            <v>45852</v>
          </cell>
          <cell r="C258">
            <v>193</v>
          </cell>
          <cell r="D258" t="str">
            <v>McKenzie_Anta'Veon_25</v>
          </cell>
        </row>
        <row r="259">
          <cell r="B259">
            <v>45852</v>
          </cell>
          <cell r="C259">
            <v>179.8</v>
          </cell>
          <cell r="D259" t="str">
            <v>Meadors_Grant_25</v>
          </cell>
        </row>
        <row r="260">
          <cell r="B260">
            <v>45852</v>
          </cell>
          <cell r="C260">
            <v>296.60000000000002</v>
          </cell>
          <cell r="D260" t="str">
            <v>Meek_Aidan_25</v>
          </cell>
        </row>
        <row r="261">
          <cell r="B261">
            <v>45852</v>
          </cell>
          <cell r="C261">
            <v>184.2</v>
          </cell>
          <cell r="D261" t="str">
            <v>Melanson_Mike_25</v>
          </cell>
        </row>
        <row r="262">
          <cell r="B262">
            <v>45852</v>
          </cell>
          <cell r="C262">
            <v>201.6</v>
          </cell>
          <cell r="D262" t="str">
            <v>Mitchell_Naytel_25</v>
          </cell>
        </row>
        <row r="263">
          <cell r="B263">
            <v>45852</v>
          </cell>
          <cell r="C263">
            <v>330.4</v>
          </cell>
          <cell r="D263" t="str">
            <v>Moore_Jaxon_25</v>
          </cell>
        </row>
        <row r="264">
          <cell r="B264">
            <v>45852</v>
          </cell>
          <cell r="C264">
            <v>211.8</v>
          </cell>
          <cell r="D264" t="str">
            <v>Moore_Oscar_25</v>
          </cell>
        </row>
        <row r="265">
          <cell r="B265">
            <v>45852</v>
          </cell>
          <cell r="C265">
            <v>231.4</v>
          </cell>
          <cell r="D265" t="str">
            <v>Mosley_Micah_25</v>
          </cell>
        </row>
        <row r="266">
          <cell r="B266">
            <v>45852</v>
          </cell>
          <cell r="C266">
            <v>175</v>
          </cell>
          <cell r="D266" t="str">
            <v>Mullican_Elias_25</v>
          </cell>
        </row>
        <row r="267">
          <cell r="B267">
            <v>45852</v>
          </cell>
          <cell r="C267">
            <v>188.4</v>
          </cell>
          <cell r="D267" t="str">
            <v>NA</v>
          </cell>
        </row>
        <row r="268">
          <cell r="B268">
            <v>45852</v>
          </cell>
          <cell r="C268">
            <v>230.8</v>
          </cell>
          <cell r="D268" t="str">
            <v>Nelson_Gavin_25</v>
          </cell>
        </row>
        <row r="269">
          <cell r="B269">
            <v>45852</v>
          </cell>
          <cell r="C269">
            <v>175.2</v>
          </cell>
          <cell r="D269" t="str">
            <v>Nickens_Tye_25</v>
          </cell>
        </row>
        <row r="270">
          <cell r="B270">
            <v>45852</v>
          </cell>
          <cell r="C270">
            <v>251.8</v>
          </cell>
          <cell r="D270" t="str">
            <v>Norris_Sammy_25</v>
          </cell>
        </row>
        <row r="271">
          <cell r="B271">
            <v>45852</v>
          </cell>
          <cell r="C271">
            <v>173.5</v>
          </cell>
          <cell r="D271" t="str">
            <v>Oliver_Jason_25</v>
          </cell>
        </row>
        <row r="272">
          <cell r="B272">
            <v>45852</v>
          </cell>
          <cell r="C272">
            <v>300</v>
          </cell>
          <cell r="D272" t="str">
            <v>Ortiz_Elijah_25</v>
          </cell>
        </row>
        <row r="273">
          <cell r="B273">
            <v>45852</v>
          </cell>
          <cell r="C273">
            <v>223</v>
          </cell>
          <cell r="D273" t="str">
            <v>Puloka_Fata_25</v>
          </cell>
        </row>
        <row r="274">
          <cell r="B274">
            <v>45852</v>
          </cell>
          <cell r="C274">
            <v>188.4</v>
          </cell>
          <cell r="D274" t="str">
            <v>Rashada_Jaden_25</v>
          </cell>
        </row>
        <row r="275">
          <cell r="B275">
            <v>45852</v>
          </cell>
          <cell r="C275">
            <v>233.8</v>
          </cell>
          <cell r="D275" t="str">
            <v>Red_Savion_25</v>
          </cell>
        </row>
        <row r="276">
          <cell r="B276">
            <v>45852</v>
          </cell>
          <cell r="C276">
            <v>188.6</v>
          </cell>
          <cell r="D276" t="str">
            <v>Reese_Caleb_25</v>
          </cell>
        </row>
        <row r="277">
          <cell r="B277">
            <v>45852</v>
          </cell>
          <cell r="C277">
            <v>309.60000000000002</v>
          </cell>
          <cell r="D277" t="str">
            <v>Riley_Kenndel_25</v>
          </cell>
        </row>
        <row r="278">
          <cell r="B278">
            <v>45852</v>
          </cell>
          <cell r="C278">
            <v>222</v>
          </cell>
          <cell r="D278" t="str">
            <v>Robinson_Dontae_25</v>
          </cell>
        </row>
        <row r="279">
          <cell r="B279">
            <v>45852</v>
          </cell>
          <cell r="C279">
            <v>178.2</v>
          </cell>
          <cell r="D279" t="str">
            <v>Robinson_Jayden_25</v>
          </cell>
        </row>
        <row r="280">
          <cell r="B280">
            <v>45852</v>
          </cell>
          <cell r="C280">
            <v>217.8</v>
          </cell>
          <cell r="D280" t="str">
            <v>Rocha_Alex_25</v>
          </cell>
        </row>
        <row r="281">
          <cell r="B281">
            <v>45852</v>
          </cell>
          <cell r="C281">
            <v>265</v>
          </cell>
          <cell r="D281" t="str">
            <v>Ross_Kris_25</v>
          </cell>
        </row>
        <row r="282">
          <cell r="B282">
            <v>45852</v>
          </cell>
          <cell r="C282">
            <v>241</v>
          </cell>
          <cell r="D282" t="str">
            <v>Scott_Brennon_25</v>
          </cell>
        </row>
        <row r="283">
          <cell r="B283">
            <v>45852</v>
          </cell>
          <cell r="C283">
            <v>347.4</v>
          </cell>
          <cell r="D283" t="str">
            <v>Sheffield_DeAnthony_25</v>
          </cell>
        </row>
        <row r="284">
          <cell r="B284">
            <v>45852</v>
          </cell>
          <cell r="C284">
            <v>267.60000000000002</v>
          </cell>
          <cell r="D284" t="str">
            <v>Slater_Luke_25</v>
          </cell>
        </row>
        <row r="285">
          <cell r="B285">
            <v>45852</v>
          </cell>
          <cell r="C285">
            <v>182.6</v>
          </cell>
          <cell r="D285" t="str">
            <v>Smith_Jaquail_25</v>
          </cell>
        </row>
        <row r="286">
          <cell r="B286">
            <v>45852</v>
          </cell>
          <cell r="C286">
            <v>191.2</v>
          </cell>
          <cell r="D286" t="str">
            <v>Smith_Onterrio_25</v>
          </cell>
        </row>
        <row r="287">
          <cell r="B287">
            <v>45852</v>
          </cell>
          <cell r="C287">
            <v>190</v>
          </cell>
          <cell r="D287" t="str">
            <v>Smith_Warren_25</v>
          </cell>
        </row>
        <row r="288">
          <cell r="B288">
            <v>45852</v>
          </cell>
          <cell r="C288">
            <v>191.8</v>
          </cell>
          <cell r="D288" t="str">
            <v>Solis_Jojo_25</v>
          </cell>
        </row>
        <row r="289">
          <cell r="B289">
            <v>45852</v>
          </cell>
          <cell r="C289">
            <v>309.8</v>
          </cell>
          <cell r="D289" t="str">
            <v>Soto_Jose_25</v>
          </cell>
        </row>
        <row r="290">
          <cell r="B290">
            <v>45852</v>
          </cell>
          <cell r="C290">
            <v>305.2</v>
          </cell>
          <cell r="D290" t="str">
            <v>Sousa_Brandon_25</v>
          </cell>
        </row>
        <row r="291">
          <cell r="B291">
            <v>45852</v>
          </cell>
          <cell r="C291">
            <v>295.60000000000002</v>
          </cell>
          <cell r="D291" t="str">
            <v>Speno_Joseph_25</v>
          </cell>
        </row>
        <row r="292">
          <cell r="B292">
            <v>45852</v>
          </cell>
          <cell r="C292">
            <v>347.8</v>
          </cell>
          <cell r="D292" t="str">
            <v>Stallworth_Jeremiah_25</v>
          </cell>
        </row>
        <row r="293">
          <cell r="B293">
            <v>45852</v>
          </cell>
          <cell r="C293">
            <v>320.39999999999998</v>
          </cell>
          <cell r="D293" t="str">
            <v>Summers_Bryson_25</v>
          </cell>
        </row>
        <row r="294">
          <cell r="B294">
            <v>45852</v>
          </cell>
          <cell r="C294">
            <v>286.39999999999998</v>
          </cell>
          <cell r="D294" t="str">
            <v>Swindle_Melvin_25</v>
          </cell>
        </row>
        <row r="295">
          <cell r="B295">
            <v>45852</v>
          </cell>
          <cell r="C295">
            <v>291.39999999999998</v>
          </cell>
          <cell r="D295" t="str">
            <v>Tagaloa_Brodie_25</v>
          </cell>
        </row>
        <row r="296">
          <cell r="B296">
            <v>45852</v>
          </cell>
          <cell r="C296">
            <v>230.4</v>
          </cell>
          <cell r="D296" t="str">
            <v>Tanner_Logan_25</v>
          </cell>
        </row>
        <row r="297">
          <cell r="B297">
            <v>45852</v>
          </cell>
          <cell r="C297">
            <v>164</v>
          </cell>
          <cell r="D297" t="str">
            <v>Taylor_Adam_25</v>
          </cell>
        </row>
        <row r="298">
          <cell r="B298">
            <v>45852</v>
          </cell>
          <cell r="C298">
            <v>196.6</v>
          </cell>
          <cell r="D298" t="str">
            <v>Taylor_Mike_25</v>
          </cell>
        </row>
        <row r="299">
          <cell r="B299">
            <v>45852</v>
          </cell>
          <cell r="C299">
            <v>269</v>
          </cell>
          <cell r="D299" t="str">
            <v>Tenney_Bear_25</v>
          </cell>
        </row>
        <row r="300">
          <cell r="B300">
            <v>45852</v>
          </cell>
          <cell r="C300">
            <v>190</v>
          </cell>
          <cell r="D300" t="str">
            <v>Thomson_Gavin_25</v>
          </cell>
        </row>
        <row r="301">
          <cell r="B301">
            <v>45852</v>
          </cell>
          <cell r="C301">
            <v>283.60000000000002</v>
          </cell>
          <cell r="D301" t="str">
            <v>Tullis_Malik_25</v>
          </cell>
        </row>
        <row r="302">
          <cell r="B302">
            <v>45852</v>
          </cell>
          <cell r="C302">
            <v>239.2</v>
          </cell>
          <cell r="D302" t="str">
            <v>Vi_Pita_25</v>
          </cell>
        </row>
        <row r="303">
          <cell r="B303">
            <v>45852</v>
          </cell>
          <cell r="C303">
            <v>178</v>
          </cell>
          <cell r="D303" t="str">
            <v>Williams_Cardell_25</v>
          </cell>
        </row>
        <row r="304">
          <cell r="B304">
            <v>45852</v>
          </cell>
          <cell r="C304">
            <v>189.4</v>
          </cell>
          <cell r="D304" t="str">
            <v>Williams_Jalen_25</v>
          </cell>
        </row>
        <row r="305">
          <cell r="B305">
            <v>45852</v>
          </cell>
          <cell r="C305">
            <v>221</v>
          </cell>
          <cell r="D305" t="str">
            <v>Williams_Jordan_25</v>
          </cell>
        </row>
        <row r="306">
          <cell r="B306">
            <v>45852</v>
          </cell>
          <cell r="C306">
            <v>248.8</v>
          </cell>
          <cell r="D306" t="str">
            <v>Williams_Xavier_25</v>
          </cell>
        </row>
        <row r="307">
          <cell r="B307">
            <v>45852</v>
          </cell>
          <cell r="C307">
            <v>216.4</v>
          </cell>
          <cell r="D307" t="str">
            <v>Wilson_Jace_25</v>
          </cell>
        </row>
        <row r="308">
          <cell r="B308">
            <v>45852</v>
          </cell>
          <cell r="C308">
            <v>202.6</v>
          </cell>
          <cell r="D308" t="str">
            <v>Wright_Deven_25</v>
          </cell>
        </row>
        <row r="309">
          <cell r="B309">
            <v>45848</v>
          </cell>
          <cell r="C309">
            <v>294.8</v>
          </cell>
          <cell r="D309" t="str">
            <v>Abdullah_Dean_25</v>
          </cell>
        </row>
        <row r="310">
          <cell r="B310">
            <v>45848</v>
          </cell>
          <cell r="C310">
            <v>220.6</v>
          </cell>
          <cell r="D310" t="str">
            <v>Adams_Sam_25</v>
          </cell>
        </row>
        <row r="311">
          <cell r="B311">
            <v>45848</v>
          </cell>
          <cell r="C311">
            <v>188.8</v>
          </cell>
          <cell r="D311" t="str">
            <v>Akui_Koa_25</v>
          </cell>
        </row>
        <row r="312">
          <cell r="B312">
            <v>45848</v>
          </cell>
          <cell r="C312">
            <v>270</v>
          </cell>
          <cell r="D312" t="str">
            <v>Ambuehl_Davis_25</v>
          </cell>
        </row>
        <row r="313">
          <cell r="B313">
            <v>45848</v>
          </cell>
          <cell r="C313">
            <v>207.2</v>
          </cell>
          <cell r="D313" t="str">
            <v>Anderson_Hayden_25</v>
          </cell>
        </row>
        <row r="314">
          <cell r="B314">
            <v>45848</v>
          </cell>
          <cell r="C314">
            <v>171.8</v>
          </cell>
          <cell r="D314" t="str">
            <v>Anderson_Jordan_25</v>
          </cell>
        </row>
        <row r="315">
          <cell r="B315">
            <v>45848</v>
          </cell>
          <cell r="C315">
            <v>288.39999999999998</v>
          </cell>
          <cell r="D315" t="str">
            <v>Bailey_Miles_25</v>
          </cell>
        </row>
        <row r="316">
          <cell r="B316">
            <v>45848</v>
          </cell>
          <cell r="C316">
            <v>190.8</v>
          </cell>
          <cell r="D316" t="str">
            <v>Bass_Trey_25</v>
          </cell>
        </row>
        <row r="317">
          <cell r="B317">
            <v>45848</v>
          </cell>
          <cell r="C317">
            <v>220</v>
          </cell>
          <cell r="D317" t="str">
            <v>Boeddeker_Hunter_25</v>
          </cell>
        </row>
        <row r="318">
          <cell r="B318">
            <v>45848</v>
          </cell>
          <cell r="C318">
            <v>200.6</v>
          </cell>
          <cell r="D318" t="str">
            <v>Borders_Curron_25</v>
          </cell>
        </row>
        <row r="319">
          <cell r="B319">
            <v>45848</v>
          </cell>
          <cell r="C319">
            <v>231.4</v>
          </cell>
          <cell r="D319" t="str">
            <v>Brown_Elias_25</v>
          </cell>
        </row>
        <row r="320">
          <cell r="B320">
            <v>45848</v>
          </cell>
          <cell r="C320">
            <v>162</v>
          </cell>
          <cell r="D320" t="str">
            <v>Bryant_Ajon_25</v>
          </cell>
        </row>
        <row r="321">
          <cell r="B321">
            <v>45848</v>
          </cell>
          <cell r="C321">
            <v>203</v>
          </cell>
          <cell r="D321" t="str">
            <v>Cahoon_Jackson_25</v>
          </cell>
        </row>
        <row r="322">
          <cell r="B322">
            <v>45848</v>
          </cell>
          <cell r="C322">
            <v>142.80000000000001</v>
          </cell>
          <cell r="D322" t="str">
            <v>Campbell_Ernest_25</v>
          </cell>
        </row>
        <row r="323">
          <cell r="B323">
            <v>45848</v>
          </cell>
          <cell r="C323">
            <v>232.2</v>
          </cell>
          <cell r="D323" t="str">
            <v>Cashiola_Josh_25</v>
          </cell>
        </row>
        <row r="324">
          <cell r="B324">
            <v>45848</v>
          </cell>
          <cell r="C324">
            <v>179.6</v>
          </cell>
          <cell r="D324" t="str">
            <v>Chouteau_Lono_25</v>
          </cell>
        </row>
        <row r="325">
          <cell r="B325">
            <v>45848</v>
          </cell>
          <cell r="C325">
            <v>162.19999999999999</v>
          </cell>
          <cell r="D325" t="str">
            <v>Conerly_Tim_25</v>
          </cell>
        </row>
        <row r="326">
          <cell r="B326">
            <v>45848</v>
          </cell>
          <cell r="C326">
            <v>170.2</v>
          </cell>
          <cell r="D326" t="str">
            <v>Curtis_Jamar_25</v>
          </cell>
        </row>
        <row r="327">
          <cell r="B327">
            <v>45848</v>
          </cell>
          <cell r="C327">
            <v>233.4</v>
          </cell>
          <cell r="D327" t="str">
            <v>Davis_Diego_25</v>
          </cell>
        </row>
        <row r="328">
          <cell r="B328">
            <v>45848</v>
          </cell>
          <cell r="C328">
            <v>197.4</v>
          </cell>
          <cell r="D328" t="str">
            <v>Emerson_Yebrell_25</v>
          </cell>
        </row>
        <row r="329">
          <cell r="B329">
            <v>45848</v>
          </cell>
          <cell r="C329">
            <v>228.8</v>
          </cell>
          <cell r="D329" t="str">
            <v>Eskridge_Matthew_25</v>
          </cell>
        </row>
        <row r="330">
          <cell r="B330">
            <v>45848</v>
          </cell>
          <cell r="C330">
            <v>179.2</v>
          </cell>
          <cell r="D330" t="str">
            <v>Fernandez_Tre_25</v>
          </cell>
        </row>
        <row r="331">
          <cell r="B331">
            <v>45848</v>
          </cell>
          <cell r="C331">
            <v>185</v>
          </cell>
          <cell r="D331" t="str">
            <v>Firebaugh_Joseph_25</v>
          </cell>
        </row>
        <row r="332">
          <cell r="B332">
            <v>45848</v>
          </cell>
          <cell r="C332">
            <v>169.8</v>
          </cell>
          <cell r="D332" t="str">
            <v>Fresques_Jaxon_25</v>
          </cell>
        </row>
        <row r="333">
          <cell r="B333">
            <v>45848</v>
          </cell>
          <cell r="C333">
            <v>191.8</v>
          </cell>
          <cell r="D333" t="str">
            <v>Garner_Drey_25</v>
          </cell>
        </row>
        <row r="334">
          <cell r="B334">
            <v>45848</v>
          </cell>
          <cell r="C334">
            <v>309.2</v>
          </cell>
          <cell r="D334" t="str">
            <v>Gillespie_James_25</v>
          </cell>
        </row>
        <row r="335">
          <cell r="B335">
            <v>45848</v>
          </cell>
          <cell r="C335">
            <v>217</v>
          </cell>
          <cell r="D335" t="str">
            <v>Gooden_Dylan_25</v>
          </cell>
        </row>
        <row r="336">
          <cell r="B336">
            <v>45848</v>
          </cell>
          <cell r="C336">
            <v>186.4</v>
          </cell>
          <cell r="D336" t="str">
            <v>Gordon_Diesel_25</v>
          </cell>
        </row>
        <row r="337">
          <cell r="B337">
            <v>45848</v>
          </cell>
          <cell r="C337">
            <v>291.8</v>
          </cell>
          <cell r="D337" t="str">
            <v>Gretlein_Cade_25</v>
          </cell>
        </row>
        <row r="338">
          <cell r="B338">
            <v>45848</v>
          </cell>
          <cell r="C338">
            <v>189.3</v>
          </cell>
          <cell r="D338" t="str">
            <v>Hall_Agiye_25</v>
          </cell>
        </row>
        <row r="339">
          <cell r="B339">
            <v>45848</v>
          </cell>
          <cell r="C339">
            <v>193.4</v>
          </cell>
          <cell r="D339" t="str">
            <v>Hammond_Rodney_25</v>
          </cell>
        </row>
        <row r="340">
          <cell r="B340">
            <v>45848</v>
          </cell>
          <cell r="C340">
            <v>240.8</v>
          </cell>
          <cell r="D340" t="str">
            <v>Hampsten_Dylan_25</v>
          </cell>
        </row>
        <row r="341">
          <cell r="B341">
            <v>45848</v>
          </cell>
          <cell r="C341">
            <v>293</v>
          </cell>
          <cell r="D341" t="str">
            <v>Hays_Sawyer_25</v>
          </cell>
        </row>
        <row r="342">
          <cell r="B342">
            <v>45848</v>
          </cell>
          <cell r="C342">
            <v>203.4</v>
          </cell>
          <cell r="D342" t="str">
            <v>Henderson_Damian_25</v>
          </cell>
        </row>
        <row r="343">
          <cell r="B343">
            <v>45848</v>
          </cell>
          <cell r="C343">
            <v>339.6</v>
          </cell>
          <cell r="D343" t="str">
            <v>Herman_Jordan_25</v>
          </cell>
        </row>
        <row r="344">
          <cell r="B344">
            <v>45848</v>
          </cell>
          <cell r="C344">
            <v>196</v>
          </cell>
          <cell r="D344" t="str">
            <v>Higgins_Kaleb_25</v>
          </cell>
        </row>
        <row r="345">
          <cell r="B345">
            <v>45848</v>
          </cell>
          <cell r="C345">
            <v>181.4</v>
          </cell>
          <cell r="D345" t="str">
            <v>Hood_Jamal_25</v>
          </cell>
        </row>
        <row r="346">
          <cell r="B346">
            <v>45848</v>
          </cell>
          <cell r="C346">
            <v>226</v>
          </cell>
          <cell r="D346" t="str">
            <v>Houston_Derek_25</v>
          </cell>
        </row>
        <row r="347">
          <cell r="B347">
            <v>45848</v>
          </cell>
          <cell r="C347">
            <v>213.8</v>
          </cell>
          <cell r="D347" t="str">
            <v>Huddle_Elijah_25</v>
          </cell>
        </row>
        <row r="348">
          <cell r="B348">
            <v>45848</v>
          </cell>
          <cell r="C348">
            <v>305</v>
          </cell>
          <cell r="D348" t="str">
            <v>Jefferson_Jordan_25</v>
          </cell>
        </row>
        <row r="349">
          <cell r="B349">
            <v>45848</v>
          </cell>
          <cell r="C349">
            <v>202.6</v>
          </cell>
          <cell r="D349" t="str">
            <v>Jefferson_KJ_25</v>
          </cell>
        </row>
        <row r="350">
          <cell r="B350">
            <v>45848</v>
          </cell>
          <cell r="C350">
            <v>188</v>
          </cell>
          <cell r="D350" t="str">
            <v>Johnson-Burrell_Lamont_25</v>
          </cell>
        </row>
        <row r="351">
          <cell r="B351">
            <v>45848</v>
          </cell>
          <cell r="C351">
            <v>216.6</v>
          </cell>
          <cell r="D351" t="str">
            <v>Johnston_Adam_25</v>
          </cell>
        </row>
        <row r="352">
          <cell r="B352">
            <v>45848</v>
          </cell>
          <cell r="C352">
            <v>227.6</v>
          </cell>
          <cell r="D352" t="str">
            <v>Jones_Jekob_25</v>
          </cell>
        </row>
        <row r="353">
          <cell r="B353">
            <v>45848</v>
          </cell>
          <cell r="C353">
            <v>334.8</v>
          </cell>
          <cell r="D353" t="str">
            <v>Kindle_Malachi_25</v>
          </cell>
        </row>
        <row r="354">
          <cell r="B354">
            <v>45848</v>
          </cell>
          <cell r="C354">
            <v>301.2</v>
          </cell>
          <cell r="D354" t="str">
            <v>Kovacs_Giovanni_25</v>
          </cell>
        </row>
        <row r="355">
          <cell r="B355">
            <v>45848</v>
          </cell>
          <cell r="C355">
            <v>290.60000000000002</v>
          </cell>
          <cell r="D355" t="str">
            <v>Lee_Graysen_25</v>
          </cell>
        </row>
        <row r="356">
          <cell r="B356">
            <v>45848</v>
          </cell>
          <cell r="C356">
            <v>160.6</v>
          </cell>
          <cell r="D356" t="str">
            <v>Lee_Ricky_25</v>
          </cell>
        </row>
        <row r="357">
          <cell r="B357">
            <v>45848</v>
          </cell>
          <cell r="C357">
            <v>205.4</v>
          </cell>
          <cell r="D357" t="str">
            <v>Malone_Jamar_25</v>
          </cell>
        </row>
        <row r="358">
          <cell r="B358">
            <v>45848</v>
          </cell>
          <cell r="C358">
            <v>349.2</v>
          </cell>
          <cell r="D358" t="str">
            <v>Massey_Syncere_25</v>
          </cell>
        </row>
        <row r="359">
          <cell r="B359">
            <v>45848</v>
          </cell>
          <cell r="C359">
            <v>326.2</v>
          </cell>
          <cell r="D359" t="str">
            <v>May_Davis_25</v>
          </cell>
        </row>
        <row r="360">
          <cell r="B360">
            <v>45848</v>
          </cell>
          <cell r="C360">
            <v>176.4</v>
          </cell>
          <cell r="D360" t="str">
            <v>McDaniel_Damien_25</v>
          </cell>
        </row>
        <row r="361">
          <cell r="B361">
            <v>45848</v>
          </cell>
          <cell r="C361">
            <v>190.2</v>
          </cell>
          <cell r="D361" t="str">
            <v>McDowell_Connor_25</v>
          </cell>
        </row>
        <row r="362">
          <cell r="B362">
            <v>45848</v>
          </cell>
          <cell r="C362">
            <v>277</v>
          </cell>
          <cell r="D362" t="str">
            <v>McGlothen_Jayland_25</v>
          </cell>
        </row>
        <row r="363">
          <cell r="B363">
            <v>45848</v>
          </cell>
          <cell r="C363">
            <v>198.2</v>
          </cell>
          <cell r="D363" t="str">
            <v>McGough_Cal_25</v>
          </cell>
        </row>
        <row r="364">
          <cell r="B364">
            <v>45848</v>
          </cell>
          <cell r="C364">
            <v>292.39999999999998</v>
          </cell>
          <cell r="D364" t="str">
            <v>McKay_Richard_25</v>
          </cell>
        </row>
        <row r="365">
          <cell r="B365">
            <v>45848</v>
          </cell>
          <cell r="C365">
            <v>194.6</v>
          </cell>
          <cell r="D365" t="str">
            <v>McKenzie_Anta'Veon_25</v>
          </cell>
        </row>
        <row r="366">
          <cell r="B366">
            <v>45848</v>
          </cell>
          <cell r="C366">
            <v>180</v>
          </cell>
          <cell r="D366" t="str">
            <v>Meadors_Grant_25</v>
          </cell>
        </row>
        <row r="367">
          <cell r="B367">
            <v>45848</v>
          </cell>
          <cell r="C367">
            <v>296.60000000000002</v>
          </cell>
          <cell r="D367" t="str">
            <v>Meek_Aidan_25</v>
          </cell>
        </row>
        <row r="368">
          <cell r="B368">
            <v>45848</v>
          </cell>
          <cell r="C368">
            <v>184.6</v>
          </cell>
          <cell r="D368" t="str">
            <v>Melanson_Mike_25</v>
          </cell>
        </row>
        <row r="369">
          <cell r="B369">
            <v>45848</v>
          </cell>
          <cell r="C369">
            <v>202.4</v>
          </cell>
          <cell r="D369" t="str">
            <v>Mitchell_Naytel_25</v>
          </cell>
        </row>
        <row r="370">
          <cell r="B370">
            <v>45848</v>
          </cell>
          <cell r="C370">
            <v>326</v>
          </cell>
          <cell r="D370" t="str">
            <v>Moore_Jaxon_25</v>
          </cell>
        </row>
        <row r="371">
          <cell r="B371">
            <v>45848</v>
          </cell>
          <cell r="C371">
            <v>212.2</v>
          </cell>
          <cell r="D371" t="str">
            <v>Moore_Oscar_25</v>
          </cell>
        </row>
        <row r="372">
          <cell r="B372">
            <v>45848</v>
          </cell>
          <cell r="C372">
            <v>238.2</v>
          </cell>
          <cell r="D372" t="str">
            <v>Mosley_Micah_25</v>
          </cell>
        </row>
        <row r="373">
          <cell r="B373">
            <v>45848</v>
          </cell>
          <cell r="C373">
            <v>173.8</v>
          </cell>
          <cell r="D373" t="str">
            <v>Mullican_Elias_25</v>
          </cell>
        </row>
        <row r="374">
          <cell r="B374">
            <v>45848</v>
          </cell>
          <cell r="C374">
            <v>193.6</v>
          </cell>
          <cell r="D374" t="str">
            <v>NA</v>
          </cell>
        </row>
        <row r="375">
          <cell r="B375">
            <v>45848</v>
          </cell>
          <cell r="C375">
            <v>234.2</v>
          </cell>
          <cell r="D375" t="str">
            <v>Nelson_Gavin_25</v>
          </cell>
        </row>
        <row r="376">
          <cell r="B376">
            <v>45848</v>
          </cell>
          <cell r="C376">
            <v>173.2</v>
          </cell>
          <cell r="D376" t="str">
            <v>Nickens_Tye_25</v>
          </cell>
        </row>
        <row r="377">
          <cell r="B377">
            <v>45848</v>
          </cell>
          <cell r="C377">
            <v>254.8</v>
          </cell>
          <cell r="D377" t="str">
            <v>Norris_Sammy_25</v>
          </cell>
        </row>
        <row r="378">
          <cell r="B378">
            <v>45848</v>
          </cell>
          <cell r="C378">
            <v>170.8</v>
          </cell>
          <cell r="D378" t="str">
            <v>Oliver_Jason_25</v>
          </cell>
        </row>
        <row r="379">
          <cell r="B379">
            <v>45848</v>
          </cell>
          <cell r="C379">
            <v>301.60000000000002</v>
          </cell>
          <cell r="D379" t="str">
            <v>Ortiz_Elijah_25</v>
          </cell>
        </row>
        <row r="380">
          <cell r="B380">
            <v>45848</v>
          </cell>
          <cell r="C380">
            <v>226</v>
          </cell>
          <cell r="D380" t="str">
            <v>Puloka_Fata_25</v>
          </cell>
        </row>
        <row r="381">
          <cell r="B381">
            <v>45848</v>
          </cell>
          <cell r="C381">
            <v>191.2</v>
          </cell>
          <cell r="D381" t="str">
            <v>Rashada_Jaden_25</v>
          </cell>
        </row>
        <row r="382">
          <cell r="B382">
            <v>45848</v>
          </cell>
          <cell r="C382">
            <v>233.6</v>
          </cell>
          <cell r="D382" t="str">
            <v>Red_Savion_25</v>
          </cell>
        </row>
        <row r="383">
          <cell r="B383">
            <v>45848</v>
          </cell>
          <cell r="C383">
            <v>187.4</v>
          </cell>
          <cell r="D383" t="str">
            <v>Reese_Caleb_25</v>
          </cell>
        </row>
        <row r="384">
          <cell r="B384">
            <v>45848</v>
          </cell>
          <cell r="C384">
            <v>316.2</v>
          </cell>
          <cell r="D384" t="str">
            <v>Riley_Kenndel_25</v>
          </cell>
        </row>
        <row r="385">
          <cell r="B385">
            <v>45848</v>
          </cell>
          <cell r="C385">
            <v>218.2</v>
          </cell>
          <cell r="D385" t="str">
            <v>Robinson_Dontae_25</v>
          </cell>
        </row>
        <row r="386">
          <cell r="B386">
            <v>45848</v>
          </cell>
          <cell r="C386">
            <v>178.8</v>
          </cell>
          <cell r="D386" t="str">
            <v>Robinson_Jayden_25</v>
          </cell>
        </row>
        <row r="387">
          <cell r="B387">
            <v>45848</v>
          </cell>
          <cell r="C387">
            <v>221.6</v>
          </cell>
          <cell r="D387" t="str">
            <v>Rocha_Alex_25</v>
          </cell>
        </row>
        <row r="388">
          <cell r="B388">
            <v>45848</v>
          </cell>
          <cell r="C388">
            <v>265.2</v>
          </cell>
          <cell r="D388" t="str">
            <v>Ross_Kris_25</v>
          </cell>
        </row>
        <row r="389">
          <cell r="B389">
            <v>45848</v>
          </cell>
          <cell r="C389">
            <v>243.4</v>
          </cell>
          <cell r="D389" t="str">
            <v>Scott_Brennon_25</v>
          </cell>
        </row>
        <row r="390">
          <cell r="B390">
            <v>45848</v>
          </cell>
          <cell r="C390">
            <v>350</v>
          </cell>
          <cell r="D390" t="str">
            <v>Sheffield_DeAnthony_25</v>
          </cell>
        </row>
        <row r="391">
          <cell r="B391">
            <v>45848</v>
          </cell>
          <cell r="C391">
            <v>265.8</v>
          </cell>
          <cell r="D391" t="str">
            <v>Slater_Luke_25</v>
          </cell>
        </row>
        <row r="392">
          <cell r="B392">
            <v>45848</v>
          </cell>
          <cell r="C392">
            <v>179.4</v>
          </cell>
          <cell r="D392" t="str">
            <v>Smith_Jaquail_25</v>
          </cell>
        </row>
        <row r="393">
          <cell r="B393">
            <v>45848</v>
          </cell>
          <cell r="C393">
            <v>190.2</v>
          </cell>
          <cell r="D393" t="str">
            <v>Smith_Onterrio_25</v>
          </cell>
        </row>
        <row r="394">
          <cell r="B394">
            <v>45848</v>
          </cell>
          <cell r="C394">
            <v>186.2</v>
          </cell>
          <cell r="D394" t="str">
            <v>Smith_Warren_25</v>
          </cell>
        </row>
        <row r="395">
          <cell r="B395">
            <v>45848</v>
          </cell>
          <cell r="C395">
            <v>185.6</v>
          </cell>
          <cell r="D395" t="str">
            <v>Solis_Jojo_25</v>
          </cell>
        </row>
        <row r="396">
          <cell r="B396">
            <v>45848</v>
          </cell>
          <cell r="C396">
            <v>307.2</v>
          </cell>
          <cell r="D396" t="str">
            <v>Soto_Jose_25</v>
          </cell>
        </row>
        <row r="397">
          <cell r="B397">
            <v>45848</v>
          </cell>
          <cell r="C397">
            <v>302.60000000000002</v>
          </cell>
          <cell r="D397" t="str">
            <v>Sousa_Brandon_25</v>
          </cell>
        </row>
        <row r="398">
          <cell r="B398">
            <v>45848</v>
          </cell>
          <cell r="C398">
            <v>279.2</v>
          </cell>
          <cell r="D398" t="str">
            <v>Speno_Joseph_25</v>
          </cell>
        </row>
        <row r="399">
          <cell r="B399">
            <v>45848</v>
          </cell>
          <cell r="C399">
            <v>349</v>
          </cell>
          <cell r="D399" t="str">
            <v>Stallworth_Jeremiah_25</v>
          </cell>
        </row>
        <row r="400">
          <cell r="B400">
            <v>45848</v>
          </cell>
          <cell r="C400">
            <v>315.60000000000002</v>
          </cell>
          <cell r="D400" t="str">
            <v>Summers_Bryson_25</v>
          </cell>
        </row>
        <row r="401">
          <cell r="B401">
            <v>45848</v>
          </cell>
          <cell r="C401">
            <v>290.60000000000002</v>
          </cell>
          <cell r="D401" t="str">
            <v>Tagaloa_Brodie_25</v>
          </cell>
        </row>
        <row r="402">
          <cell r="B402">
            <v>45848</v>
          </cell>
          <cell r="C402">
            <v>228.8</v>
          </cell>
          <cell r="D402" t="str">
            <v>Tanner_Logan_25</v>
          </cell>
        </row>
        <row r="403">
          <cell r="B403">
            <v>45848</v>
          </cell>
          <cell r="C403">
            <v>167.2</v>
          </cell>
          <cell r="D403" t="str">
            <v>Taylor_Adam_25</v>
          </cell>
        </row>
        <row r="404">
          <cell r="B404">
            <v>45848</v>
          </cell>
          <cell r="C404">
            <v>197.6</v>
          </cell>
          <cell r="D404" t="str">
            <v>Taylor_Mike_25</v>
          </cell>
        </row>
        <row r="405">
          <cell r="B405">
            <v>45848</v>
          </cell>
          <cell r="C405">
            <v>265.8</v>
          </cell>
          <cell r="D405" t="str">
            <v>Tenney_Bear_25</v>
          </cell>
        </row>
        <row r="406">
          <cell r="B406">
            <v>45848</v>
          </cell>
          <cell r="C406">
            <v>190.6</v>
          </cell>
          <cell r="D406" t="str">
            <v>Thomson_Gavin_25</v>
          </cell>
        </row>
        <row r="407">
          <cell r="B407">
            <v>45848</v>
          </cell>
          <cell r="C407">
            <v>277.8</v>
          </cell>
          <cell r="D407" t="str">
            <v>Tullis_Malik_25</v>
          </cell>
        </row>
        <row r="408">
          <cell r="B408">
            <v>45848</v>
          </cell>
          <cell r="C408">
            <v>237</v>
          </cell>
          <cell r="D408" t="str">
            <v>Vi_Pita_25</v>
          </cell>
        </row>
        <row r="409">
          <cell r="B409">
            <v>45848</v>
          </cell>
          <cell r="C409">
            <v>182</v>
          </cell>
          <cell r="D409" t="str">
            <v>Williams_Cardell_25</v>
          </cell>
        </row>
        <row r="410">
          <cell r="B410">
            <v>45848</v>
          </cell>
          <cell r="C410">
            <v>187.4</v>
          </cell>
          <cell r="D410" t="str">
            <v>Williams_Jalen_25</v>
          </cell>
        </row>
        <row r="411">
          <cell r="B411">
            <v>45848</v>
          </cell>
          <cell r="C411">
            <v>217.8</v>
          </cell>
          <cell r="D411" t="str">
            <v>Williams_Jordan_25</v>
          </cell>
        </row>
        <row r="412">
          <cell r="B412">
            <v>45848</v>
          </cell>
          <cell r="C412">
            <v>248</v>
          </cell>
          <cell r="D412" t="str">
            <v>Williams_Xavier_25</v>
          </cell>
        </row>
        <row r="413">
          <cell r="B413">
            <v>45848</v>
          </cell>
          <cell r="C413">
            <v>220</v>
          </cell>
          <cell r="D413" t="str">
            <v>Wilson_Jace_25</v>
          </cell>
        </row>
        <row r="414">
          <cell r="B414">
            <v>45848</v>
          </cell>
          <cell r="C414">
            <v>202.4</v>
          </cell>
          <cell r="D414" t="str">
            <v>Wright_Deven_25</v>
          </cell>
        </row>
        <row r="415">
          <cell r="B415">
            <v>45846</v>
          </cell>
          <cell r="C415">
            <v>290.75200000000001</v>
          </cell>
          <cell r="D415" t="str">
            <v>Abdullah_Dean_25</v>
          </cell>
        </row>
        <row r="416">
          <cell r="B416">
            <v>45846</v>
          </cell>
          <cell r="C416">
            <v>217.22800000000001</v>
          </cell>
          <cell r="D416" t="str">
            <v>Adams_Sam_25</v>
          </cell>
        </row>
        <row r="417">
          <cell r="B417">
            <v>45846</v>
          </cell>
          <cell r="C417">
            <v>190.38800000000001</v>
          </cell>
          <cell r="D417" t="str">
            <v>Akui_Koa_25</v>
          </cell>
        </row>
        <row r="418">
          <cell r="B418">
            <v>45846</v>
          </cell>
          <cell r="C418">
            <v>268.86200000000002</v>
          </cell>
          <cell r="D418" t="str">
            <v>Ambuehl_Davis_25</v>
          </cell>
        </row>
        <row r="419">
          <cell r="B419">
            <v>45846</v>
          </cell>
          <cell r="C419">
            <v>201.608</v>
          </cell>
          <cell r="D419" t="str">
            <v>Anderson_Hayden_25</v>
          </cell>
        </row>
        <row r="420">
          <cell r="B420">
            <v>45846</v>
          </cell>
          <cell r="C420">
            <v>169.554</v>
          </cell>
          <cell r="D420" t="str">
            <v>Anderson_Jordan_25</v>
          </cell>
        </row>
        <row r="421">
          <cell r="B421">
            <v>45846</v>
          </cell>
          <cell r="C421">
            <v>289.036</v>
          </cell>
          <cell r="D421" t="str">
            <v>Bailey_Miles_25</v>
          </cell>
        </row>
        <row r="422">
          <cell r="B422">
            <v>45846</v>
          </cell>
          <cell r="C422">
            <v>191.31200000000001</v>
          </cell>
          <cell r="D422" t="str">
            <v>Bass_Trey_25</v>
          </cell>
        </row>
        <row r="423">
          <cell r="B423">
            <v>45846</v>
          </cell>
          <cell r="C423">
            <v>217.77799999999999</v>
          </cell>
          <cell r="D423" t="str">
            <v>Boeddeker_Hunter_25</v>
          </cell>
        </row>
        <row r="424">
          <cell r="B424">
            <v>45846</v>
          </cell>
          <cell r="C424">
            <v>202.8</v>
          </cell>
          <cell r="D424" t="str">
            <v>Borders_Curron_25</v>
          </cell>
        </row>
        <row r="425">
          <cell r="B425">
            <v>45846</v>
          </cell>
          <cell r="C425">
            <v>229.50399999999999</v>
          </cell>
          <cell r="D425" t="str">
            <v>Brown_Elias_25</v>
          </cell>
        </row>
        <row r="426">
          <cell r="B426">
            <v>45846</v>
          </cell>
          <cell r="C426">
            <v>160.16</v>
          </cell>
          <cell r="D426" t="str">
            <v>Bryant_Ajon_25</v>
          </cell>
        </row>
        <row r="427">
          <cell r="B427">
            <v>45846</v>
          </cell>
          <cell r="C427">
            <v>190.87200000000001</v>
          </cell>
          <cell r="D427" t="str">
            <v>Butler_Dejuan_25</v>
          </cell>
        </row>
        <row r="428">
          <cell r="B428">
            <v>45846</v>
          </cell>
          <cell r="C428">
            <v>201.982</v>
          </cell>
          <cell r="D428" t="str">
            <v>Cahoon_Jackson_25</v>
          </cell>
        </row>
        <row r="429">
          <cell r="B429">
            <v>45846</v>
          </cell>
          <cell r="C429">
            <v>138.886</v>
          </cell>
          <cell r="D429" t="str">
            <v>Campbell_Ernest_25</v>
          </cell>
        </row>
        <row r="430">
          <cell r="B430">
            <v>45846</v>
          </cell>
          <cell r="C430">
            <v>231.77</v>
          </cell>
          <cell r="D430" t="str">
            <v>Cashiola_Josh_25</v>
          </cell>
        </row>
        <row r="431">
          <cell r="B431">
            <v>45846</v>
          </cell>
          <cell r="C431">
            <v>181.25800000000001</v>
          </cell>
          <cell r="D431" t="str">
            <v>Chouteau_Lono_25</v>
          </cell>
        </row>
        <row r="432">
          <cell r="B432">
            <v>45846</v>
          </cell>
          <cell r="C432">
            <v>159.23599999999999</v>
          </cell>
          <cell r="D432" t="str">
            <v>Conerly_Tim_25</v>
          </cell>
        </row>
        <row r="433">
          <cell r="B433">
            <v>45846</v>
          </cell>
          <cell r="C433">
            <v>169.202</v>
          </cell>
          <cell r="D433" t="str">
            <v>Curtis_Jamar_25</v>
          </cell>
        </row>
        <row r="434">
          <cell r="B434">
            <v>45846</v>
          </cell>
          <cell r="C434">
            <v>236.19200000000001</v>
          </cell>
          <cell r="D434" t="str">
            <v>Davis_Diego_25</v>
          </cell>
        </row>
        <row r="435">
          <cell r="B435">
            <v>45846</v>
          </cell>
          <cell r="C435">
            <v>200.178</v>
          </cell>
          <cell r="D435" t="str">
            <v>Emerson_Yebrell_25</v>
          </cell>
        </row>
        <row r="436">
          <cell r="B436">
            <v>45846</v>
          </cell>
          <cell r="C436">
            <v>230.47200000000001</v>
          </cell>
          <cell r="D436" t="str">
            <v>Eskridge_Matthew_25</v>
          </cell>
        </row>
        <row r="437">
          <cell r="B437">
            <v>45846</v>
          </cell>
          <cell r="C437">
            <v>171.90799999999999</v>
          </cell>
          <cell r="D437" t="str">
            <v>Fernandez_Tre_25</v>
          </cell>
        </row>
        <row r="438">
          <cell r="B438">
            <v>45846</v>
          </cell>
          <cell r="C438">
            <v>185.52600000000001</v>
          </cell>
          <cell r="D438" t="str">
            <v>Firebaugh_Joseph_25</v>
          </cell>
        </row>
        <row r="439">
          <cell r="B439">
            <v>45846</v>
          </cell>
          <cell r="C439">
            <v>167.244</v>
          </cell>
          <cell r="D439" t="str">
            <v>Fresques_Jaxon_25</v>
          </cell>
        </row>
        <row r="440">
          <cell r="B440">
            <v>45846</v>
          </cell>
          <cell r="C440">
            <v>193.31399999999999</v>
          </cell>
          <cell r="D440" t="str">
            <v>Garner_Drey_25</v>
          </cell>
        </row>
        <row r="441">
          <cell r="B441">
            <v>45846</v>
          </cell>
          <cell r="C441">
            <v>307.05399999999997</v>
          </cell>
          <cell r="D441" t="str">
            <v>Gillespie_James_25</v>
          </cell>
        </row>
        <row r="442">
          <cell r="B442">
            <v>45846</v>
          </cell>
          <cell r="C442">
            <v>214.654</v>
          </cell>
          <cell r="D442" t="str">
            <v>Gooden_Dylan_25</v>
          </cell>
        </row>
        <row r="443">
          <cell r="B443">
            <v>45846</v>
          </cell>
          <cell r="C443">
            <v>181.08199999999999</v>
          </cell>
          <cell r="D443" t="str">
            <v>Gordon_Diesel_25</v>
          </cell>
        </row>
        <row r="444">
          <cell r="B444">
            <v>45846</v>
          </cell>
          <cell r="C444">
            <v>292.00599999999997</v>
          </cell>
          <cell r="D444" t="str">
            <v>Gretlein_Cade_25</v>
          </cell>
        </row>
        <row r="445">
          <cell r="B445">
            <v>45846</v>
          </cell>
          <cell r="C445">
            <v>187.30799999999999</v>
          </cell>
          <cell r="D445" t="str">
            <v>Hall_Agiye_25</v>
          </cell>
        </row>
        <row r="446">
          <cell r="B446">
            <v>45846</v>
          </cell>
          <cell r="C446">
            <v>191</v>
          </cell>
          <cell r="D446" t="str">
            <v>Hammond_Rodney_25</v>
          </cell>
        </row>
        <row r="447">
          <cell r="B447">
            <v>45846</v>
          </cell>
          <cell r="C447">
            <v>239.95400000000001</v>
          </cell>
          <cell r="D447" t="str">
            <v>Hampsten_Dylan_25</v>
          </cell>
        </row>
        <row r="448">
          <cell r="B448">
            <v>45846</v>
          </cell>
          <cell r="C448">
            <v>291.85199999999998</v>
          </cell>
          <cell r="D448" t="str">
            <v>Hays_Sawyer_25</v>
          </cell>
        </row>
        <row r="449">
          <cell r="B449">
            <v>45846</v>
          </cell>
          <cell r="C449">
            <v>207.08600000000001</v>
          </cell>
          <cell r="D449" t="str">
            <v>Henderson_Damian_25</v>
          </cell>
        </row>
        <row r="450">
          <cell r="B450">
            <v>45846</v>
          </cell>
          <cell r="C450">
            <v>340.428</v>
          </cell>
          <cell r="D450" t="str">
            <v>Herman_Jordan_25</v>
          </cell>
        </row>
        <row r="451">
          <cell r="B451">
            <v>45846</v>
          </cell>
          <cell r="C451">
            <v>193.53399999999999</v>
          </cell>
          <cell r="D451" t="str">
            <v>Higgins_Kaleb_25</v>
          </cell>
        </row>
        <row r="452">
          <cell r="B452">
            <v>45846</v>
          </cell>
          <cell r="C452">
            <v>179.67400000000001</v>
          </cell>
          <cell r="D452" t="str">
            <v>Hood_Jamal_25</v>
          </cell>
        </row>
        <row r="453">
          <cell r="B453">
            <v>45846</v>
          </cell>
          <cell r="C453">
            <v>228.58</v>
          </cell>
          <cell r="D453" t="str">
            <v>Houston_Derek_25</v>
          </cell>
        </row>
        <row r="454">
          <cell r="B454">
            <v>45846</v>
          </cell>
          <cell r="C454">
            <v>211.42</v>
          </cell>
          <cell r="D454" t="str">
            <v>Huddle_Elijah_25</v>
          </cell>
        </row>
        <row r="455">
          <cell r="B455">
            <v>45846</v>
          </cell>
          <cell r="C455">
            <v>304.89800000000002</v>
          </cell>
          <cell r="D455" t="str">
            <v>Jefferson_Jordan_25</v>
          </cell>
        </row>
        <row r="456">
          <cell r="B456">
            <v>45846</v>
          </cell>
          <cell r="C456">
            <v>200.86</v>
          </cell>
          <cell r="D456" t="str">
            <v>Jefferson_KJ_25</v>
          </cell>
        </row>
        <row r="457">
          <cell r="B457">
            <v>45846</v>
          </cell>
          <cell r="C457">
            <v>185.30600000000001</v>
          </cell>
          <cell r="D457" t="str">
            <v>Johnson-Burrell_Lamont_25</v>
          </cell>
        </row>
        <row r="458">
          <cell r="B458">
            <v>45846</v>
          </cell>
          <cell r="C458">
            <v>190.696</v>
          </cell>
          <cell r="D458" t="str">
            <v>Johnson_Michael_25</v>
          </cell>
        </row>
        <row r="459">
          <cell r="B459">
            <v>45846</v>
          </cell>
          <cell r="C459">
            <v>213.09200000000001</v>
          </cell>
          <cell r="D459" t="str">
            <v>Johnston_Adam_25</v>
          </cell>
        </row>
        <row r="460">
          <cell r="B460">
            <v>45846</v>
          </cell>
          <cell r="C460">
            <v>226.2</v>
          </cell>
          <cell r="D460" t="str">
            <v>Jones_Jekob_25</v>
          </cell>
        </row>
        <row r="461">
          <cell r="B461">
            <v>45846</v>
          </cell>
          <cell r="C461">
            <v>330.59399999999999</v>
          </cell>
          <cell r="D461" t="str">
            <v>Kindle_Malachi_25</v>
          </cell>
        </row>
        <row r="462">
          <cell r="B462">
            <v>45846</v>
          </cell>
          <cell r="C462">
            <v>302.98399999999998</v>
          </cell>
          <cell r="D462" t="str">
            <v>Kovacs_Giovanni_25</v>
          </cell>
        </row>
        <row r="463">
          <cell r="B463">
            <v>45846</v>
          </cell>
          <cell r="C463">
            <v>287</v>
          </cell>
          <cell r="D463" t="str">
            <v>Lee_Graysen_25</v>
          </cell>
        </row>
        <row r="464">
          <cell r="B464">
            <v>45846</v>
          </cell>
          <cell r="C464">
            <v>162.20599999999999</v>
          </cell>
          <cell r="D464" t="str">
            <v>Lee_Ricky_25</v>
          </cell>
        </row>
        <row r="465">
          <cell r="B465">
            <v>45846</v>
          </cell>
          <cell r="C465">
            <v>206.756</v>
          </cell>
          <cell r="D465" t="str">
            <v>Malone_Jamar_25</v>
          </cell>
        </row>
        <row r="466">
          <cell r="B466">
            <v>45846</v>
          </cell>
          <cell r="C466">
            <v>351.12</v>
          </cell>
          <cell r="D466" t="str">
            <v>Massey_Syncere_25</v>
          </cell>
        </row>
        <row r="467">
          <cell r="B467">
            <v>45846</v>
          </cell>
          <cell r="C467">
            <v>327.88799999999998</v>
          </cell>
          <cell r="D467" t="str">
            <v>May_Davis_25</v>
          </cell>
        </row>
        <row r="468">
          <cell r="B468">
            <v>45846</v>
          </cell>
          <cell r="C468">
            <v>177.8</v>
          </cell>
          <cell r="D468" t="str">
            <v>McDaniel_Damien_25</v>
          </cell>
        </row>
        <row r="469">
          <cell r="B469">
            <v>45846</v>
          </cell>
          <cell r="C469">
            <v>188.14400000000001</v>
          </cell>
          <cell r="D469" t="str">
            <v>McDowell_Connor_25</v>
          </cell>
        </row>
        <row r="470">
          <cell r="B470">
            <v>45846</v>
          </cell>
          <cell r="C470">
            <v>273.92200000000003</v>
          </cell>
          <cell r="D470" t="str">
            <v>McGlothen_Jayland_25</v>
          </cell>
        </row>
        <row r="471">
          <cell r="B471">
            <v>45846</v>
          </cell>
          <cell r="C471">
            <v>196.39400000000001</v>
          </cell>
          <cell r="D471" t="str">
            <v>McGough_Cal_25</v>
          </cell>
        </row>
        <row r="472">
          <cell r="B472">
            <v>45846</v>
          </cell>
          <cell r="C472">
            <v>292.46800000000002</v>
          </cell>
          <cell r="D472" t="str">
            <v>McKay_Richard_25</v>
          </cell>
        </row>
        <row r="473">
          <cell r="B473">
            <v>45846</v>
          </cell>
          <cell r="C473">
            <v>192.41200000000001</v>
          </cell>
          <cell r="D473" t="str">
            <v>McKenzie_Anta'Veon_25</v>
          </cell>
        </row>
        <row r="474">
          <cell r="B474">
            <v>45846</v>
          </cell>
          <cell r="C474">
            <v>179.916</v>
          </cell>
          <cell r="D474" t="str">
            <v>Meadors_Grant_25</v>
          </cell>
        </row>
        <row r="475">
          <cell r="B475">
            <v>45846</v>
          </cell>
          <cell r="C475">
            <v>293.34800000000001</v>
          </cell>
          <cell r="D475" t="str">
            <v>Meek_Aidan_25</v>
          </cell>
        </row>
        <row r="476">
          <cell r="B476">
            <v>45846</v>
          </cell>
          <cell r="C476">
            <v>179</v>
          </cell>
          <cell r="D476" t="str">
            <v>Melanson_Mike_25</v>
          </cell>
        </row>
        <row r="477">
          <cell r="B477">
            <v>45846</v>
          </cell>
          <cell r="C477">
            <v>202.31200000000001</v>
          </cell>
          <cell r="D477" t="str">
            <v>Mitchell_Naytel_25</v>
          </cell>
        </row>
        <row r="478">
          <cell r="B478">
            <v>45846</v>
          </cell>
          <cell r="C478">
            <v>324.47800000000001</v>
          </cell>
          <cell r="D478" t="str">
            <v>Moore_Jaxon_25</v>
          </cell>
        </row>
        <row r="479">
          <cell r="B479">
            <v>45846</v>
          </cell>
          <cell r="C479">
            <v>211.398</v>
          </cell>
          <cell r="D479" t="str">
            <v>Moore_Oscar_25</v>
          </cell>
        </row>
        <row r="480">
          <cell r="B480">
            <v>45846</v>
          </cell>
          <cell r="C480">
            <v>233.94800000000001</v>
          </cell>
          <cell r="D480" t="str">
            <v>Mosley_Micah_25</v>
          </cell>
        </row>
        <row r="481">
          <cell r="B481">
            <v>45846</v>
          </cell>
          <cell r="C481">
            <v>173.49199999999999</v>
          </cell>
          <cell r="D481" t="str">
            <v>Mullican_Elias_25</v>
          </cell>
        </row>
        <row r="482">
          <cell r="B482">
            <v>45846</v>
          </cell>
          <cell r="C482">
            <v>185.768</v>
          </cell>
          <cell r="D482" t="str">
            <v>NA</v>
          </cell>
        </row>
        <row r="483">
          <cell r="B483">
            <v>45846</v>
          </cell>
          <cell r="C483">
            <v>229.50399999999999</v>
          </cell>
          <cell r="D483" t="str">
            <v>Nelson_Gavin_25</v>
          </cell>
        </row>
        <row r="484">
          <cell r="B484">
            <v>45846</v>
          </cell>
          <cell r="C484">
            <v>172.85400000000001</v>
          </cell>
          <cell r="D484" t="str">
            <v>Nickens_Tye_25</v>
          </cell>
        </row>
        <row r="485">
          <cell r="B485">
            <v>45846</v>
          </cell>
          <cell r="C485">
            <v>257.46600000000001</v>
          </cell>
          <cell r="D485" t="str">
            <v>Norris_Sammy_25</v>
          </cell>
        </row>
        <row r="486">
          <cell r="B486">
            <v>45846</v>
          </cell>
          <cell r="C486">
            <v>171.68799999999999</v>
          </cell>
          <cell r="D486" t="str">
            <v>Oliver_Jason_25</v>
          </cell>
        </row>
        <row r="487">
          <cell r="B487">
            <v>45846</v>
          </cell>
          <cell r="C487">
            <v>303.11599999999999</v>
          </cell>
          <cell r="D487" t="str">
            <v>Ortiz_Elijah_25</v>
          </cell>
        </row>
        <row r="488">
          <cell r="B488">
            <v>45846</v>
          </cell>
          <cell r="C488">
            <v>224.2</v>
          </cell>
          <cell r="D488" t="str">
            <v>Puloka_Fata_25</v>
          </cell>
        </row>
        <row r="489">
          <cell r="B489">
            <v>45846</v>
          </cell>
          <cell r="C489">
            <v>189.596</v>
          </cell>
          <cell r="D489" t="str">
            <v>Rashada_Jaden_25</v>
          </cell>
        </row>
        <row r="490">
          <cell r="B490">
            <v>45846</v>
          </cell>
          <cell r="C490">
            <v>235.29</v>
          </cell>
          <cell r="D490" t="str">
            <v>Red_Savion_25</v>
          </cell>
        </row>
        <row r="491">
          <cell r="B491">
            <v>45846</v>
          </cell>
          <cell r="C491">
            <v>186.86799999999999</v>
          </cell>
          <cell r="D491" t="str">
            <v>Reese_Caleb_25</v>
          </cell>
        </row>
        <row r="492">
          <cell r="B492">
            <v>45846</v>
          </cell>
          <cell r="C492">
            <v>318.01</v>
          </cell>
          <cell r="D492" t="str">
            <v>Riley_Kenndel_25</v>
          </cell>
        </row>
        <row r="493">
          <cell r="B493">
            <v>45846</v>
          </cell>
          <cell r="C493">
            <v>216.458</v>
          </cell>
          <cell r="D493" t="str">
            <v>Robinson_Dontae_25</v>
          </cell>
        </row>
        <row r="494">
          <cell r="B494">
            <v>45846</v>
          </cell>
          <cell r="C494">
            <v>178.4</v>
          </cell>
          <cell r="D494" t="str">
            <v>Robinson_Jayden_25</v>
          </cell>
        </row>
        <row r="495">
          <cell r="B495">
            <v>45846</v>
          </cell>
          <cell r="C495">
            <v>217.71199999999999</v>
          </cell>
          <cell r="D495" t="str">
            <v>Rocha_Alex_25</v>
          </cell>
        </row>
        <row r="496">
          <cell r="B496">
            <v>45846</v>
          </cell>
          <cell r="C496">
            <v>243.386</v>
          </cell>
          <cell r="D496" t="str">
            <v>Scott_Brennon_25</v>
          </cell>
        </row>
        <row r="497">
          <cell r="B497">
            <v>45846</v>
          </cell>
          <cell r="C497">
            <v>353.4</v>
          </cell>
          <cell r="D497" t="str">
            <v>Sheffield_DeAnthony_25</v>
          </cell>
        </row>
        <row r="498">
          <cell r="B498">
            <v>45846</v>
          </cell>
          <cell r="C498">
            <v>266.15600000000001</v>
          </cell>
          <cell r="D498" t="str">
            <v>Slater_Luke_25</v>
          </cell>
        </row>
        <row r="499">
          <cell r="B499">
            <v>45846</v>
          </cell>
          <cell r="C499">
            <v>179.256</v>
          </cell>
          <cell r="D499" t="str">
            <v>Smith_Jaquail_25</v>
          </cell>
        </row>
        <row r="500">
          <cell r="B500">
            <v>45846</v>
          </cell>
          <cell r="C500">
            <v>188.71600000000001</v>
          </cell>
          <cell r="D500" t="str">
            <v>Smith_Onterrio_25</v>
          </cell>
        </row>
        <row r="501">
          <cell r="B501">
            <v>45846</v>
          </cell>
          <cell r="C501">
            <v>186.56</v>
          </cell>
          <cell r="D501" t="str">
            <v>Smith_Warren_25</v>
          </cell>
        </row>
        <row r="502">
          <cell r="B502">
            <v>45846</v>
          </cell>
          <cell r="C502">
            <v>188.2</v>
          </cell>
          <cell r="D502" t="str">
            <v>Solis_Jojo_25</v>
          </cell>
        </row>
        <row r="503">
          <cell r="B503">
            <v>45846</v>
          </cell>
          <cell r="C503">
            <v>305.69</v>
          </cell>
          <cell r="D503" t="str">
            <v>Soto_Jose_25</v>
          </cell>
        </row>
        <row r="504">
          <cell r="B504">
            <v>45846</v>
          </cell>
          <cell r="C504">
            <v>305.95400000000001</v>
          </cell>
          <cell r="D504" t="str">
            <v>Sousa_Brandon_25</v>
          </cell>
        </row>
        <row r="505">
          <cell r="B505">
            <v>45846</v>
          </cell>
          <cell r="C505">
            <v>280.346</v>
          </cell>
          <cell r="D505" t="str">
            <v>Speno_Joseph_25</v>
          </cell>
        </row>
        <row r="506">
          <cell r="B506">
            <v>45846</v>
          </cell>
          <cell r="C506">
            <v>349.62400000000002</v>
          </cell>
          <cell r="D506" t="str">
            <v>Stallworth_Jeremiah_25</v>
          </cell>
        </row>
        <row r="507">
          <cell r="B507">
            <v>45846</v>
          </cell>
          <cell r="C507">
            <v>315.37</v>
          </cell>
          <cell r="D507" t="str">
            <v>Summers_Bryson_25</v>
          </cell>
        </row>
        <row r="508">
          <cell r="B508">
            <v>45846</v>
          </cell>
          <cell r="C508">
            <v>289.19</v>
          </cell>
          <cell r="D508" t="str">
            <v>Tagaloa_Brodie_25</v>
          </cell>
        </row>
        <row r="509">
          <cell r="B509">
            <v>45846</v>
          </cell>
          <cell r="C509">
            <v>229.768</v>
          </cell>
          <cell r="D509" t="str">
            <v>Tanner_Logan_25</v>
          </cell>
        </row>
        <row r="510">
          <cell r="B510">
            <v>45846</v>
          </cell>
          <cell r="C510">
            <v>165.13200000000001</v>
          </cell>
          <cell r="D510" t="str">
            <v>Taylor_Adam_25</v>
          </cell>
        </row>
        <row r="511">
          <cell r="B511">
            <v>45846</v>
          </cell>
          <cell r="C511">
            <v>191.642</v>
          </cell>
          <cell r="D511" t="str">
            <v>Taylor_Mike_25</v>
          </cell>
        </row>
        <row r="512">
          <cell r="B512">
            <v>45846</v>
          </cell>
          <cell r="C512">
            <v>267.93799999999999</v>
          </cell>
          <cell r="D512" t="str">
            <v>Tenney_Bear_25</v>
          </cell>
        </row>
        <row r="513">
          <cell r="B513">
            <v>45846</v>
          </cell>
          <cell r="C513">
            <v>188.47399999999999</v>
          </cell>
          <cell r="D513" t="str">
            <v>Thomson_Gavin_25</v>
          </cell>
        </row>
        <row r="514">
          <cell r="B514">
            <v>45846</v>
          </cell>
          <cell r="C514">
            <v>280.47800000000001</v>
          </cell>
          <cell r="D514" t="str">
            <v>Tullis_Malik_25</v>
          </cell>
        </row>
        <row r="515">
          <cell r="B515">
            <v>45846</v>
          </cell>
          <cell r="C515">
            <v>235.642</v>
          </cell>
          <cell r="D515" t="str">
            <v>Vi_Pita_25</v>
          </cell>
        </row>
        <row r="516">
          <cell r="B516">
            <v>45846</v>
          </cell>
          <cell r="C516">
            <v>316.18400000000003</v>
          </cell>
          <cell r="D516" t="str">
            <v>Watts_DeSean_25</v>
          </cell>
        </row>
        <row r="517">
          <cell r="B517">
            <v>45846</v>
          </cell>
          <cell r="C517">
            <v>181.5</v>
          </cell>
          <cell r="D517" t="str">
            <v>Williams_Cardell_25</v>
          </cell>
        </row>
        <row r="518">
          <cell r="B518">
            <v>45846</v>
          </cell>
          <cell r="C518">
            <v>189.70599999999999</v>
          </cell>
          <cell r="D518" t="str">
            <v>Williams_Jalen_25</v>
          </cell>
        </row>
        <row r="519">
          <cell r="B519">
            <v>45846</v>
          </cell>
          <cell r="C519">
            <v>223.16800000000001</v>
          </cell>
          <cell r="D519" t="str">
            <v>Williams_Jordan_25</v>
          </cell>
        </row>
        <row r="520">
          <cell r="B520">
            <v>45846</v>
          </cell>
          <cell r="C520">
            <v>247.45599999999999</v>
          </cell>
          <cell r="D520" t="str">
            <v>Williams_Xavier_25</v>
          </cell>
        </row>
        <row r="521">
          <cell r="B521">
            <v>45846</v>
          </cell>
          <cell r="C521">
            <v>216.876</v>
          </cell>
          <cell r="D521" t="str">
            <v>Wilson_Jace_25</v>
          </cell>
        </row>
        <row r="522">
          <cell r="B522">
            <v>45846</v>
          </cell>
          <cell r="C522">
            <v>202</v>
          </cell>
          <cell r="D522" t="str">
            <v>Wright_Deven_25</v>
          </cell>
        </row>
        <row r="523">
          <cell r="B523">
            <v>45845</v>
          </cell>
          <cell r="C523">
            <v>296</v>
          </cell>
          <cell r="D523" t="str">
            <v>Abdullah_Dean_25</v>
          </cell>
        </row>
        <row r="524">
          <cell r="B524">
            <v>45845</v>
          </cell>
          <cell r="C524">
            <v>217.4</v>
          </cell>
          <cell r="D524" t="str">
            <v>Adams_Sam_25</v>
          </cell>
        </row>
        <row r="525">
          <cell r="B525">
            <v>45845</v>
          </cell>
          <cell r="C525">
            <v>189</v>
          </cell>
          <cell r="D525" t="str">
            <v>Akui_Koa_25</v>
          </cell>
        </row>
        <row r="526">
          <cell r="B526">
            <v>45845</v>
          </cell>
          <cell r="C526">
            <v>264</v>
          </cell>
          <cell r="D526" t="str">
            <v>Ambuehl_Davis_25</v>
          </cell>
        </row>
        <row r="527">
          <cell r="B527">
            <v>45845</v>
          </cell>
          <cell r="C527">
            <v>202.2</v>
          </cell>
          <cell r="D527" t="str">
            <v>Anderson_Hayden_25</v>
          </cell>
        </row>
        <row r="528">
          <cell r="B528">
            <v>45845</v>
          </cell>
          <cell r="C528">
            <v>168</v>
          </cell>
          <cell r="D528" t="str">
            <v>Anderson_Jordan_25</v>
          </cell>
        </row>
        <row r="529">
          <cell r="B529">
            <v>45845</v>
          </cell>
          <cell r="C529">
            <v>291</v>
          </cell>
          <cell r="D529" t="str">
            <v>Bailey_Miles_25</v>
          </cell>
        </row>
        <row r="530">
          <cell r="B530">
            <v>45845</v>
          </cell>
          <cell r="C530">
            <v>194.2</v>
          </cell>
          <cell r="D530" t="str">
            <v>Bass_Trey_25</v>
          </cell>
        </row>
        <row r="531">
          <cell r="B531">
            <v>45845</v>
          </cell>
          <cell r="C531">
            <v>217.4</v>
          </cell>
          <cell r="D531" t="str">
            <v>Boeddeker_Hunter_25</v>
          </cell>
        </row>
        <row r="532">
          <cell r="B532">
            <v>45845</v>
          </cell>
          <cell r="C532">
            <v>203.8</v>
          </cell>
          <cell r="D532" t="str">
            <v>Borders_Curron_25</v>
          </cell>
        </row>
        <row r="533">
          <cell r="B533">
            <v>45845</v>
          </cell>
          <cell r="C533">
            <v>229.6</v>
          </cell>
          <cell r="D533" t="str">
            <v>Brown_Elias_25</v>
          </cell>
        </row>
        <row r="534">
          <cell r="B534">
            <v>45845</v>
          </cell>
          <cell r="C534">
            <v>161.19999999999999</v>
          </cell>
          <cell r="D534" t="str">
            <v>Bryant_Ajon_25</v>
          </cell>
        </row>
        <row r="535">
          <cell r="B535">
            <v>45845</v>
          </cell>
          <cell r="C535">
            <v>202</v>
          </cell>
          <cell r="D535" t="str">
            <v>Cahoon_Jackson_25</v>
          </cell>
        </row>
        <row r="536">
          <cell r="B536">
            <v>45845</v>
          </cell>
          <cell r="C536">
            <v>137.80000000000001</v>
          </cell>
          <cell r="D536" t="str">
            <v>Campbell_Ernest_25</v>
          </cell>
        </row>
        <row r="537">
          <cell r="B537">
            <v>45845</v>
          </cell>
          <cell r="C537">
            <v>231.2</v>
          </cell>
          <cell r="D537" t="str">
            <v>Cashiola_Josh_25</v>
          </cell>
        </row>
        <row r="538">
          <cell r="B538">
            <v>45845</v>
          </cell>
          <cell r="C538">
            <v>178.8</v>
          </cell>
          <cell r="D538" t="str">
            <v>Chouteau_Lono_25</v>
          </cell>
        </row>
        <row r="539">
          <cell r="B539">
            <v>45845</v>
          </cell>
          <cell r="C539">
            <v>159.4</v>
          </cell>
          <cell r="D539" t="str">
            <v>Conerly_Tim_25</v>
          </cell>
        </row>
        <row r="540">
          <cell r="B540">
            <v>45845</v>
          </cell>
          <cell r="C540">
            <v>169.8</v>
          </cell>
          <cell r="D540" t="str">
            <v>Curtis_Jamar_25</v>
          </cell>
        </row>
        <row r="541">
          <cell r="B541">
            <v>45845</v>
          </cell>
          <cell r="C541">
            <v>231.4</v>
          </cell>
          <cell r="D541" t="str">
            <v>Davis_Diego_25</v>
          </cell>
        </row>
        <row r="542">
          <cell r="B542">
            <v>45845</v>
          </cell>
          <cell r="C542">
            <v>197</v>
          </cell>
          <cell r="D542" t="str">
            <v>Emerson_Yebrell_25</v>
          </cell>
        </row>
        <row r="543">
          <cell r="B543">
            <v>45845</v>
          </cell>
          <cell r="C543">
            <v>230.4</v>
          </cell>
          <cell r="D543" t="str">
            <v>Eskridge_Matthew_25</v>
          </cell>
        </row>
        <row r="544">
          <cell r="B544">
            <v>45845</v>
          </cell>
          <cell r="C544">
            <v>173.4</v>
          </cell>
          <cell r="D544" t="str">
            <v>Fernandez_Tre_25</v>
          </cell>
        </row>
        <row r="545">
          <cell r="B545">
            <v>45845</v>
          </cell>
          <cell r="C545">
            <v>185.2</v>
          </cell>
          <cell r="D545" t="str">
            <v>Firebaugh_Joseph_25</v>
          </cell>
        </row>
        <row r="546">
          <cell r="B546">
            <v>45845</v>
          </cell>
          <cell r="C546">
            <v>166</v>
          </cell>
          <cell r="D546" t="str">
            <v>Fresques_Jaxon_25</v>
          </cell>
        </row>
        <row r="547">
          <cell r="B547">
            <v>45845</v>
          </cell>
          <cell r="C547">
            <v>194</v>
          </cell>
          <cell r="D547" t="str">
            <v>Garner_Drey_25</v>
          </cell>
        </row>
        <row r="548">
          <cell r="B548">
            <v>45845</v>
          </cell>
          <cell r="C548">
            <v>308.39999999999998</v>
          </cell>
          <cell r="D548" t="str">
            <v>Gillespie_James_25</v>
          </cell>
        </row>
        <row r="549">
          <cell r="B549">
            <v>45845</v>
          </cell>
          <cell r="C549">
            <v>215.6</v>
          </cell>
          <cell r="D549" t="str">
            <v>Gooden_Dylan_25</v>
          </cell>
        </row>
        <row r="550">
          <cell r="B550">
            <v>45845</v>
          </cell>
          <cell r="C550">
            <v>177.8</v>
          </cell>
          <cell r="D550" t="str">
            <v>Gordon_Diesel_25</v>
          </cell>
        </row>
        <row r="551">
          <cell r="B551">
            <v>45845</v>
          </cell>
          <cell r="C551">
            <v>292.8</v>
          </cell>
          <cell r="D551" t="str">
            <v>Gretlein_Cade_25</v>
          </cell>
        </row>
        <row r="552">
          <cell r="B552">
            <v>45845</v>
          </cell>
          <cell r="C552">
            <v>190</v>
          </cell>
          <cell r="D552" t="str">
            <v>Hall_Agiye_25</v>
          </cell>
        </row>
        <row r="553">
          <cell r="B553">
            <v>45845</v>
          </cell>
          <cell r="C553">
            <v>187.8</v>
          </cell>
          <cell r="D553" t="str">
            <v>Hammond_Rodney_25</v>
          </cell>
        </row>
        <row r="554">
          <cell r="B554">
            <v>45845</v>
          </cell>
          <cell r="C554">
            <v>243.6</v>
          </cell>
          <cell r="D554" t="str">
            <v>Hampsten_Dylan_25</v>
          </cell>
        </row>
        <row r="555">
          <cell r="B555">
            <v>45845</v>
          </cell>
          <cell r="C555">
            <v>292.8</v>
          </cell>
          <cell r="D555" t="str">
            <v>Hays_Sawyer_25</v>
          </cell>
        </row>
        <row r="556">
          <cell r="B556">
            <v>45845</v>
          </cell>
          <cell r="C556">
            <v>205.2</v>
          </cell>
          <cell r="D556" t="str">
            <v>Henderson_Damian_25</v>
          </cell>
        </row>
        <row r="557">
          <cell r="B557">
            <v>45845</v>
          </cell>
          <cell r="C557">
            <v>339.6</v>
          </cell>
          <cell r="D557" t="str">
            <v>Herman_Jordan_25</v>
          </cell>
        </row>
        <row r="558">
          <cell r="B558">
            <v>45845</v>
          </cell>
          <cell r="C558">
            <v>196.6</v>
          </cell>
          <cell r="D558" t="str">
            <v>Higgins_Kaleb_25</v>
          </cell>
        </row>
        <row r="559">
          <cell r="B559">
            <v>45845</v>
          </cell>
          <cell r="C559">
            <v>180.2</v>
          </cell>
          <cell r="D559" t="str">
            <v>Hood_Jamal_25</v>
          </cell>
        </row>
        <row r="560">
          <cell r="B560">
            <v>45845</v>
          </cell>
          <cell r="C560">
            <v>227.2</v>
          </cell>
          <cell r="D560" t="str">
            <v>Houston_Derek_25</v>
          </cell>
        </row>
        <row r="561">
          <cell r="B561">
            <v>45845</v>
          </cell>
          <cell r="C561">
            <v>214.8</v>
          </cell>
          <cell r="D561" t="str">
            <v>Huddle_Elijah_25</v>
          </cell>
        </row>
        <row r="562">
          <cell r="B562">
            <v>45845</v>
          </cell>
          <cell r="C562">
            <v>302</v>
          </cell>
          <cell r="D562" t="str">
            <v>Jefferson_Jordan_25</v>
          </cell>
        </row>
        <row r="563">
          <cell r="B563">
            <v>45845</v>
          </cell>
          <cell r="C563">
            <v>201</v>
          </cell>
          <cell r="D563" t="str">
            <v>Jefferson_KJ_25</v>
          </cell>
        </row>
        <row r="564">
          <cell r="B564">
            <v>45845</v>
          </cell>
          <cell r="C564">
            <v>184.2</v>
          </cell>
          <cell r="D564" t="str">
            <v>Johnson-Burrell_Lamont_25</v>
          </cell>
        </row>
        <row r="565">
          <cell r="B565">
            <v>45845</v>
          </cell>
          <cell r="C565">
            <v>212.6</v>
          </cell>
          <cell r="D565" t="str">
            <v>Johnston_Adam_25</v>
          </cell>
        </row>
        <row r="566">
          <cell r="B566">
            <v>45845</v>
          </cell>
          <cell r="C566">
            <v>227</v>
          </cell>
          <cell r="D566" t="str">
            <v>Jones_Jekob_25</v>
          </cell>
        </row>
        <row r="567">
          <cell r="B567">
            <v>45845</v>
          </cell>
          <cell r="C567">
            <v>330.4</v>
          </cell>
          <cell r="D567" t="str">
            <v>Kindle_Malachi_25</v>
          </cell>
        </row>
        <row r="568">
          <cell r="B568">
            <v>45845</v>
          </cell>
          <cell r="C568">
            <v>303</v>
          </cell>
          <cell r="D568" t="str">
            <v>Kovacs_Giovanni_25</v>
          </cell>
        </row>
        <row r="569">
          <cell r="B569">
            <v>45845</v>
          </cell>
          <cell r="C569">
            <v>288.60000000000002</v>
          </cell>
          <cell r="D569" t="str">
            <v>Lee_Graysen_25</v>
          </cell>
        </row>
        <row r="570">
          <cell r="B570">
            <v>45845</v>
          </cell>
          <cell r="C570">
            <v>164</v>
          </cell>
          <cell r="D570" t="str">
            <v>Lee_Ricky_25</v>
          </cell>
        </row>
        <row r="571">
          <cell r="B571">
            <v>45845</v>
          </cell>
          <cell r="C571">
            <v>209.2</v>
          </cell>
          <cell r="D571" t="str">
            <v>Malone_Jamar_25</v>
          </cell>
        </row>
        <row r="572">
          <cell r="B572">
            <v>45845</v>
          </cell>
          <cell r="C572">
            <v>348.4</v>
          </cell>
          <cell r="D572" t="str">
            <v>Massey_Syncere_25</v>
          </cell>
        </row>
        <row r="573">
          <cell r="B573">
            <v>45845</v>
          </cell>
          <cell r="C573">
            <v>328.4</v>
          </cell>
          <cell r="D573" t="str">
            <v>May_Davis_25</v>
          </cell>
        </row>
        <row r="574">
          <cell r="B574">
            <v>45845</v>
          </cell>
          <cell r="C574">
            <v>177</v>
          </cell>
          <cell r="D574" t="str">
            <v>McDaniel_Damien_25</v>
          </cell>
        </row>
        <row r="575">
          <cell r="B575">
            <v>45845</v>
          </cell>
          <cell r="C575">
            <v>187.8</v>
          </cell>
          <cell r="D575" t="str">
            <v>McDowell_Connor_25</v>
          </cell>
        </row>
        <row r="576">
          <cell r="B576">
            <v>45845</v>
          </cell>
          <cell r="C576">
            <v>274</v>
          </cell>
          <cell r="D576" t="str">
            <v>McGlothen_Jayland_25</v>
          </cell>
        </row>
        <row r="577">
          <cell r="B577">
            <v>45845</v>
          </cell>
          <cell r="C577">
            <v>198.6</v>
          </cell>
          <cell r="D577" t="str">
            <v>McGough_Cal_25</v>
          </cell>
        </row>
        <row r="578">
          <cell r="B578">
            <v>45845</v>
          </cell>
          <cell r="C578">
            <v>291.2</v>
          </cell>
          <cell r="D578" t="str">
            <v>McKay_Richard_25</v>
          </cell>
        </row>
        <row r="579">
          <cell r="B579">
            <v>45845</v>
          </cell>
          <cell r="C579">
            <v>192.2</v>
          </cell>
          <cell r="D579" t="str">
            <v>McKenzie_Anta'Veon_25</v>
          </cell>
        </row>
        <row r="580">
          <cell r="B580">
            <v>45845</v>
          </cell>
          <cell r="C580">
            <v>182</v>
          </cell>
          <cell r="D580" t="str">
            <v>Meadors_Grant_25</v>
          </cell>
        </row>
        <row r="581">
          <cell r="B581">
            <v>45845</v>
          </cell>
          <cell r="C581">
            <v>296.60000000000002</v>
          </cell>
          <cell r="D581" t="str">
            <v>Meek_Aidan_25</v>
          </cell>
        </row>
        <row r="582">
          <cell r="B582">
            <v>45845</v>
          </cell>
          <cell r="C582">
            <v>179.2</v>
          </cell>
          <cell r="D582" t="str">
            <v>Melanson_Mike_25</v>
          </cell>
        </row>
        <row r="583">
          <cell r="B583">
            <v>45845</v>
          </cell>
          <cell r="C583">
            <v>201.6</v>
          </cell>
          <cell r="D583" t="str">
            <v>Mitchell_Naytel_25</v>
          </cell>
        </row>
        <row r="584">
          <cell r="B584">
            <v>45845</v>
          </cell>
          <cell r="C584">
            <v>323.2</v>
          </cell>
          <cell r="D584" t="str">
            <v>Moore_Jaxon_25</v>
          </cell>
        </row>
        <row r="585">
          <cell r="B585">
            <v>45845</v>
          </cell>
          <cell r="C585">
            <v>213.8</v>
          </cell>
          <cell r="D585" t="str">
            <v>Moore_Oscar_25</v>
          </cell>
        </row>
        <row r="586">
          <cell r="B586">
            <v>45845</v>
          </cell>
          <cell r="C586">
            <v>233.8</v>
          </cell>
          <cell r="D586" t="str">
            <v>Mosley_Micah_25</v>
          </cell>
        </row>
        <row r="587">
          <cell r="B587">
            <v>45845</v>
          </cell>
          <cell r="C587">
            <v>173</v>
          </cell>
          <cell r="D587" t="str">
            <v>Mullican_Elias_25</v>
          </cell>
        </row>
        <row r="588">
          <cell r="B588">
            <v>45845</v>
          </cell>
          <cell r="C588">
            <v>190</v>
          </cell>
          <cell r="D588" t="str">
            <v>NA</v>
          </cell>
        </row>
        <row r="589">
          <cell r="B589">
            <v>45845</v>
          </cell>
          <cell r="C589">
            <v>231.4</v>
          </cell>
          <cell r="D589" t="str">
            <v>Nelson_Gavin_25</v>
          </cell>
        </row>
        <row r="590">
          <cell r="B590">
            <v>45845</v>
          </cell>
          <cell r="C590">
            <v>174.2</v>
          </cell>
          <cell r="D590" t="str">
            <v>Nickens_Tye_25</v>
          </cell>
        </row>
        <row r="591">
          <cell r="B591">
            <v>45845</v>
          </cell>
          <cell r="C591">
            <v>256.39999999999998</v>
          </cell>
          <cell r="D591" t="str">
            <v>Norris_Sammy_25</v>
          </cell>
        </row>
        <row r="592">
          <cell r="B592">
            <v>45845</v>
          </cell>
          <cell r="C592">
            <v>170.6</v>
          </cell>
          <cell r="D592" t="str">
            <v>Oliver_Jason_25</v>
          </cell>
        </row>
        <row r="593">
          <cell r="B593">
            <v>45845</v>
          </cell>
          <cell r="C593">
            <v>302.8</v>
          </cell>
          <cell r="D593" t="str">
            <v>Ortiz_Elijah_25</v>
          </cell>
        </row>
        <row r="594">
          <cell r="B594">
            <v>45845</v>
          </cell>
          <cell r="C594">
            <v>224.8</v>
          </cell>
          <cell r="D594" t="str">
            <v>Puloka_Fata_25</v>
          </cell>
        </row>
        <row r="595">
          <cell r="B595">
            <v>45845</v>
          </cell>
          <cell r="C595">
            <v>190</v>
          </cell>
          <cell r="D595" t="str">
            <v>Rashada_Jaden_25</v>
          </cell>
        </row>
        <row r="596">
          <cell r="B596">
            <v>45845</v>
          </cell>
          <cell r="C596">
            <v>235.2</v>
          </cell>
          <cell r="D596" t="str">
            <v>Red_Savion_25</v>
          </cell>
        </row>
        <row r="597">
          <cell r="B597">
            <v>45845</v>
          </cell>
          <cell r="C597">
            <v>186.6</v>
          </cell>
          <cell r="D597" t="str">
            <v>Reese_Caleb_25</v>
          </cell>
        </row>
        <row r="598">
          <cell r="B598">
            <v>45845</v>
          </cell>
          <cell r="C598">
            <v>315</v>
          </cell>
          <cell r="D598" t="str">
            <v>Riley_Kenndel_25</v>
          </cell>
        </row>
        <row r="599">
          <cell r="B599">
            <v>45845</v>
          </cell>
          <cell r="C599">
            <v>215.8</v>
          </cell>
          <cell r="D599" t="str">
            <v>Robinson_Dontae_25</v>
          </cell>
        </row>
        <row r="600">
          <cell r="B600">
            <v>45845</v>
          </cell>
          <cell r="C600">
            <v>178.4</v>
          </cell>
          <cell r="D600" t="str">
            <v>Robinson_Jayden_25</v>
          </cell>
        </row>
        <row r="601">
          <cell r="B601">
            <v>45845</v>
          </cell>
          <cell r="C601">
            <v>217.8</v>
          </cell>
          <cell r="D601" t="str">
            <v>Rocha_Alex_25</v>
          </cell>
        </row>
        <row r="602">
          <cell r="B602">
            <v>45845</v>
          </cell>
          <cell r="C602">
            <v>242.8</v>
          </cell>
          <cell r="D602" t="str">
            <v>Scott_Brennon_25</v>
          </cell>
        </row>
        <row r="603">
          <cell r="B603">
            <v>45845</v>
          </cell>
          <cell r="C603">
            <v>352.8</v>
          </cell>
          <cell r="D603" t="str">
            <v>Sheffield_DeAnthony_25</v>
          </cell>
        </row>
        <row r="604">
          <cell r="B604">
            <v>45845</v>
          </cell>
          <cell r="C604">
            <v>266.60000000000002</v>
          </cell>
          <cell r="D604" t="str">
            <v>Slater_Luke_25</v>
          </cell>
        </row>
        <row r="605">
          <cell r="B605">
            <v>45845</v>
          </cell>
          <cell r="C605">
            <v>175.6</v>
          </cell>
          <cell r="D605" t="str">
            <v>Smith_Jaquail_25</v>
          </cell>
        </row>
        <row r="606">
          <cell r="B606">
            <v>45845</v>
          </cell>
          <cell r="C606">
            <v>188.6</v>
          </cell>
          <cell r="D606" t="str">
            <v>Smith_Onterrio_25</v>
          </cell>
        </row>
        <row r="607">
          <cell r="B607">
            <v>45845</v>
          </cell>
          <cell r="C607">
            <v>187.8</v>
          </cell>
          <cell r="D607" t="str">
            <v>Smith_Warren_25</v>
          </cell>
        </row>
        <row r="608">
          <cell r="B608">
            <v>45845</v>
          </cell>
          <cell r="C608">
            <v>187</v>
          </cell>
          <cell r="D608" t="str">
            <v>Solis_Jojo_25</v>
          </cell>
        </row>
        <row r="609">
          <cell r="B609">
            <v>45845</v>
          </cell>
          <cell r="C609">
            <v>306.60000000000002</v>
          </cell>
          <cell r="D609" t="str">
            <v>Soto_Jose_25</v>
          </cell>
        </row>
        <row r="610">
          <cell r="B610">
            <v>45845</v>
          </cell>
          <cell r="C610">
            <v>303.2</v>
          </cell>
          <cell r="D610" t="str">
            <v>Sousa_Brandon_25</v>
          </cell>
        </row>
        <row r="611">
          <cell r="B611">
            <v>45845</v>
          </cell>
          <cell r="C611">
            <v>281.2</v>
          </cell>
          <cell r="D611" t="str">
            <v>Speno_Joseph_25</v>
          </cell>
        </row>
        <row r="612">
          <cell r="B612">
            <v>45845</v>
          </cell>
          <cell r="C612">
            <v>352.8</v>
          </cell>
          <cell r="D612" t="str">
            <v>Stallworth_Jeremiah_25</v>
          </cell>
        </row>
        <row r="613">
          <cell r="B613">
            <v>45845</v>
          </cell>
          <cell r="C613">
            <v>315.2</v>
          </cell>
          <cell r="D613" t="str">
            <v>Summers_Bryson_25</v>
          </cell>
        </row>
        <row r="614">
          <cell r="B614">
            <v>45845</v>
          </cell>
          <cell r="C614">
            <v>292.8</v>
          </cell>
          <cell r="D614" t="str">
            <v>Swindle_Melvin_25</v>
          </cell>
        </row>
        <row r="615">
          <cell r="B615">
            <v>45845</v>
          </cell>
          <cell r="C615">
            <v>288</v>
          </cell>
          <cell r="D615" t="str">
            <v>Tagaloa_Brodie_25</v>
          </cell>
        </row>
        <row r="616">
          <cell r="B616">
            <v>45845</v>
          </cell>
          <cell r="C616">
            <v>227.6</v>
          </cell>
          <cell r="D616" t="str">
            <v>Tanner_Logan_25</v>
          </cell>
        </row>
        <row r="617">
          <cell r="B617">
            <v>45845</v>
          </cell>
          <cell r="C617">
            <v>164.6</v>
          </cell>
          <cell r="D617" t="str">
            <v>Taylor_Adam_25</v>
          </cell>
        </row>
        <row r="618">
          <cell r="B618">
            <v>45845</v>
          </cell>
          <cell r="C618">
            <v>190.8</v>
          </cell>
          <cell r="D618" t="str">
            <v>Taylor_Mike_25</v>
          </cell>
        </row>
        <row r="619">
          <cell r="B619">
            <v>45845</v>
          </cell>
          <cell r="C619">
            <v>264.39999999999998</v>
          </cell>
          <cell r="D619" t="str">
            <v>Tenney_Bear_25</v>
          </cell>
        </row>
        <row r="620">
          <cell r="B620">
            <v>45845</v>
          </cell>
          <cell r="C620">
            <v>186.6</v>
          </cell>
          <cell r="D620" t="str">
            <v>Thomson_Gavin_25</v>
          </cell>
        </row>
        <row r="621">
          <cell r="B621">
            <v>45845</v>
          </cell>
          <cell r="C621">
            <v>279.8</v>
          </cell>
          <cell r="D621" t="str">
            <v>Tullis_Malik_25</v>
          </cell>
        </row>
        <row r="622">
          <cell r="B622">
            <v>45845</v>
          </cell>
          <cell r="C622">
            <v>234.2</v>
          </cell>
          <cell r="D622" t="str">
            <v>Vi_Pita_25</v>
          </cell>
        </row>
        <row r="623">
          <cell r="B623">
            <v>45845</v>
          </cell>
          <cell r="C623">
            <v>183.8</v>
          </cell>
          <cell r="D623" t="str">
            <v>Williams_Cardell_25</v>
          </cell>
        </row>
        <row r="624">
          <cell r="B624">
            <v>45845</v>
          </cell>
          <cell r="C624">
            <v>189.4</v>
          </cell>
          <cell r="D624" t="str">
            <v>Williams_Jalen_25</v>
          </cell>
        </row>
        <row r="625">
          <cell r="B625">
            <v>45845</v>
          </cell>
          <cell r="C625">
            <v>221</v>
          </cell>
          <cell r="D625" t="str">
            <v>Williams_Jordan_25</v>
          </cell>
        </row>
        <row r="626">
          <cell r="B626">
            <v>45845</v>
          </cell>
          <cell r="C626">
            <v>248.8</v>
          </cell>
          <cell r="D626" t="str">
            <v>Williams_Xavier_25</v>
          </cell>
        </row>
        <row r="627">
          <cell r="B627">
            <v>45845</v>
          </cell>
          <cell r="C627">
            <v>216.8</v>
          </cell>
          <cell r="D627" t="str">
            <v>Wilson_Jace_25</v>
          </cell>
        </row>
        <row r="628">
          <cell r="B628">
            <v>45845</v>
          </cell>
          <cell r="C628">
            <v>205</v>
          </cell>
          <cell r="D628" t="str">
            <v>Wright_Deven_25</v>
          </cell>
        </row>
        <row r="629">
          <cell r="B629">
            <v>45835</v>
          </cell>
          <cell r="C629">
            <v>296.8</v>
          </cell>
          <cell r="D629" t="str">
            <v>Abdullah_Dean_25</v>
          </cell>
        </row>
        <row r="630">
          <cell r="B630">
            <v>45835</v>
          </cell>
          <cell r="C630">
            <v>217.2</v>
          </cell>
          <cell r="D630" t="str">
            <v>Adams_Sam_25</v>
          </cell>
        </row>
        <row r="631">
          <cell r="B631">
            <v>45835</v>
          </cell>
          <cell r="C631">
            <v>187</v>
          </cell>
          <cell r="D631" t="str">
            <v>Akui_Koa_25</v>
          </cell>
        </row>
        <row r="632">
          <cell r="B632">
            <v>45835</v>
          </cell>
          <cell r="C632">
            <v>265.8</v>
          </cell>
          <cell r="D632" t="str">
            <v>Ambuehl_Davis_25</v>
          </cell>
        </row>
        <row r="633">
          <cell r="B633">
            <v>45835</v>
          </cell>
          <cell r="C633">
            <v>206.2</v>
          </cell>
          <cell r="D633" t="str">
            <v>Anderson_Hayden_25</v>
          </cell>
        </row>
        <row r="634">
          <cell r="B634">
            <v>45835</v>
          </cell>
          <cell r="C634">
            <v>174.8</v>
          </cell>
          <cell r="D634" t="str">
            <v>Anderson_Jordan_25</v>
          </cell>
        </row>
        <row r="635">
          <cell r="B635">
            <v>45835</v>
          </cell>
          <cell r="C635">
            <v>289.2</v>
          </cell>
          <cell r="D635" t="str">
            <v>Bailey_Miles_25</v>
          </cell>
        </row>
        <row r="636">
          <cell r="B636">
            <v>45835</v>
          </cell>
          <cell r="C636">
            <v>192</v>
          </cell>
          <cell r="D636" t="str">
            <v>Bass_Trey_25</v>
          </cell>
        </row>
        <row r="637">
          <cell r="B637">
            <v>45835</v>
          </cell>
          <cell r="C637">
            <v>215.4</v>
          </cell>
          <cell r="D637" t="str">
            <v>Boeddeker_Hunter_25</v>
          </cell>
        </row>
        <row r="638">
          <cell r="B638">
            <v>45835</v>
          </cell>
          <cell r="C638">
            <v>231.6</v>
          </cell>
          <cell r="D638" t="str">
            <v>Brown_Elias_25</v>
          </cell>
        </row>
        <row r="639">
          <cell r="B639">
            <v>45835</v>
          </cell>
          <cell r="C639">
            <v>159.4</v>
          </cell>
          <cell r="D639" t="str">
            <v>Bryant_Ajon_25</v>
          </cell>
        </row>
        <row r="640">
          <cell r="B640">
            <v>45835</v>
          </cell>
          <cell r="C640">
            <v>199.8</v>
          </cell>
          <cell r="D640" t="str">
            <v>Cahoon_Jackson_25</v>
          </cell>
        </row>
        <row r="641">
          <cell r="B641">
            <v>45835</v>
          </cell>
          <cell r="C641">
            <v>140.19999999999999</v>
          </cell>
          <cell r="D641" t="str">
            <v>Campbell_Ernest_25</v>
          </cell>
        </row>
        <row r="642">
          <cell r="B642">
            <v>45835</v>
          </cell>
          <cell r="C642">
            <v>235.6</v>
          </cell>
          <cell r="D642" t="str">
            <v>Cashiola_Josh_25</v>
          </cell>
        </row>
        <row r="643">
          <cell r="B643">
            <v>45835</v>
          </cell>
          <cell r="C643">
            <v>171</v>
          </cell>
          <cell r="D643" t="str">
            <v>Chouteau_Lono_25</v>
          </cell>
        </row>
        <row r="644">
          <cell r="B644">
            <v>45835</v>
          </cell>
          <cell r="C644">
            <v>171.4</v>
          </cell>
          <cell r="D644" t="str">
            <v>Curtis_Jamar_25</v>
          </cell>
        </row>
        <row r="645">
          <cell r="B645">
            <v>45835</v>
          </cell>
          <cell r="C645">
            <v>234</v>
          </cell>
          <cell r="D645" t="str">
            <v>Davis_Diego_25</v>
          </cell>
        </row>
        <row r="646">
          <cell r="B646">
            <v>45835</v>
          </cell>
          <cell r="C646">
            <v>198</v>
          </cell>
          <cell r="D646" t="str">
            <v>Emerson_Yebrell_25</v>
          </cell>
        </row>
        <row r="647">
          <cell r="B647">
            <v>45835</v>
          </cell>
          <cell r="C647">
            <v>228.4</v>
          </cell>
          <cell r="D647" t="str">
            <v>Eskridge_Matthew_25</v>
          </cell>
        </row>
        <row r="648">
          <cell r="B648">
            <v>45835</v>
          </cell>
          <cell r="C648">
            <v>171.8</v>
          </cell>
          <cell r="D648" t="str">
            <v>Fernandez_Tre_25</v>
          </cell>
        </row>
        <row r="649">
          <cell r="B649">
            <v>45835</v>
          </cell>
          <cell r="C649">
            <v>184.2</v>
          </cell>
          <cell r="D649" t="str">
            <v>Firebaugh_Joseph_25</v>
          </cell>
        </row>
        <row r="650">
          <cell r="B650">
            <v>45835</v>
          </cell>
          <cell r="C650">
            <v>169.8</v>
          </cell>
          <cell r="D650" t="str">
            <v>Fresques_Jaxon_25</v>
          </cell>
        </row>
        <row r="651">
          <cell r="B651">
            <v>45835</v>
          </cell>
          <cell r="C651">
            <v>190.2</v>
          </cell>
          <cell r="D651" t="str">
            <v>Garner_Drey_25</v>
          </cell>
        </row>
        <row r="652">
          <cell r="B652">
            <v>45835</v>
          </cell>
          <cell r="C652">
            <v>314.2</v>
          </cell>
          <cell r="D652" t="str">
            <v>Gillespie_James_25</v>
          </cell>
        </row>
        <row r="653">
          <cell r="B653">
            <v>45835</v>
          </cell>
          <cell r="C653">
            <v>216.8</v>
          </cell>
          <cell r="D653" t="str">
            <v>Gooden_Dylan_25</v>
          </cell>
        </row>
        <row r="654">
          <cell r="B654">
            <v>45835</v>
          </cell>
          <cell r="C654">
            <v>294.39999999999998</v>
          </cell>
          <cell r="D654" t="str">
            <v>Gretlein_Cade_25</v>
          </cell>
        </row>
        <row r="655">
          <cell r="B655">
            <v>45835</v>
          </cell>
          <cell r="C655">
            <v>187.2</v>
          </cell>
          <cell r="D655" t="str">
            <v>Hall_Agiye_25</v>
          </cell>
        </row>
        <row r="656">
          <cell r="B656">
            <v>45835</v>
          </cell>
          <cell r="C656">
            <v>194.2</v>
          </cell>
          <cell r="D656" t="str">
            <v>Hammond_Rodney_25</v>
          </cell>
        </row>
        <row r="657">
          <cell r="B657">
            <v>45835</v>
          </cell>
          <cell r="C657">
            <v>297</v>
          </cell>
          <cell r="D657" t="str">
            <v>Hays_Sawyer_25</v>
          </cell>
        </row>
        <row r="658">
          <cell r="B658">
            <v>45835</v>
          </cell>
          <cell r="C658">
            <v>206.8</v>
          </cell>
          <cell r="D658" t="str">
            <v>Henderson_Damian_25</v>
          </cell>
        </row>
        <row r="659">
          <cell r="B659">
            <v>45835</v>
          </cell>
          <cell r="C659">
            <v>338.6</v>
          </cell>
          <cell r="D659" t="str">
            <v>Herman_Jordan_25</v>
          </cell>
        </row>
        <row r="660">
          <cell r="B660">
            <v>45835</v>
          </cell>
          <cell r="C660">
            <v>198.2</v>
          </cell>
          <cell r="D660" t="str">
            <v>Higgins_Kaleb_25</v>
          </cell>
        </row>
        <row r="661">
          <cell r="B661">
            <v>45835</v>
          </cell>
          <cell r="C661">
            <v>179.4</v>
          </cell>
          <cell r="D661" t="str">
            <v>Hood_Jamal_25</v>
          </cell>
        </row>
        <row r="662">
          <cell r="B662">
            <v>45835</v>
          </cell>
          <cell r="C662">
            <v>226</v>
          </cell>
          <cell r="D662" t="str">
            <v>Houston_Derek_25</v>
          </cell>
        </row>
        <row r="663">
          <cell r="B663">
            <v>45835</v>
          </cell>
          <cell r="C663">
            <v>209.2</v>
          </cell>
          <cell r="D663" t="str">
            <v>Huddle_Elijah_25</v>
          </cell>
        </row>
        <row r="664">
          <cell r="B664">
            <v>45835</v>
          </cell>
          <cell r="C664">
            <v>305.2</v>
          </cell>
          <cell r="D664" t="str">
            <v>Jefferson_Jordan_25</v>
          </cell>
        </row>
        <row r="665">
          <cell r="B665">
            <v>45835</v>
          </cell>
          <cell r="C665">
            <v>202.4</v>
          </cell>
          <cell r="D665" t="str">
            <v>Jefferson_KJ_25</v>
          </cell>
        </row>
        <row r="666">
          <cell r="B666">
            <v>45835</v>
          </cell>
          <cell r="C666">
            <v>188</v>
          </cell>
          <cell r="D666" t="str">
            <v>Johnson-Burrell_Lamont_25</v>
          </cell>
        </row>
        <row r="667">
          <cell r="B667">
            <v>45835</v>
          </cell>
          <cell r="C667">
            <v>214.6</v>
          </cell>
          <cell r="D667" t="str">
            <v>Johnston_Adam_25</v>
          </cell>
        </row>
        <row r="668">
          <cell r="B668">
            <v>45835</v>
          </cell>
          <cell r="C668">
            <v>226.8</v>
          </cell>
          <cell r="D668" t="str">
            <v>Jones_Jekob_25</v>
          </cell>
        </row>
        <row r="669">
          <cell r="B669">
            <v>45835</v>
          </cell>
          <cell r="C669">
            <v>329</v>
          </cell>
          <cell r="D669" t="str">
            <v>Kindle_Malachi_25</v>
          </cell>
        </row>
        <row r="670">
          <cell r="B670">
            <v>45835</v>
          </cell>
          <cell r="C670">
            <v>299.8</v>
          </cell>
          <cell r="D670" t="str">
            <v>Kovacs_Giovanni_25</v>
          </cell>
        </row>
        <row r="671">
          <cell r="B671">
            <v>45835</v>
          </cell>
          <cell r="C671">
            <v>162.4</v>
          </cell>
          <cell r="D671" t="str">
            <v>Lee_Ricky_25</v>
          </cell>
        </row>
        <row r="672">
          <cell r="B672">
            <v>45835</v>
          </cell>
          <cell r="C672">
            <v>207.6</v>
          </cell>
          <cell r="D672" t="str">
            <v>Malone_Jamar_25</v>
          </cell>
        </row>
        <row r="673">
          <cell r="B673">
            <v>45835</v>
          </cell>
          <cell r="C673">
            <v>347</v>
          </cell>
          <cell r="D673" t="str">
            <v>Massey_Syncere_25</v>
          </cell>
        </row>
        <row r="674">
          <cell r="B674">
            <v>45835</v>
          </cell>
          <cell r="C674">
            <v>326.2</v>
          </cell>
          <cell r="D674" t="str">
            <v>May_Davis_25</v>
          </cell>
        </row>
        <row r="675">
          <cell r="B675">
            <v>45835</v>
          </cell>
          <cell r="C675">
            <v>178.8</v>
          </cell>
          <cell r="D675" t="str">
            <v>McDaniel_Damien_25</v>
          </cell>
        </row>
        <row r="676">
          <cell r="B676">
            <v>45835</v>
          </cell>
          <cell r="C676">
            <v>189.2</v>
          </cell>
          <cell r="D676" t="str">
            <v>McDowell_Connor_25</v>
          </cell>
        </row>
        <row r="677">
          <cell r="B677">
            <v>45835</v>
          </cell>
          <cell r="C677">
            <v>279.8</v>
          </cell>
          <cell r="D677" t="str">
            <v>McGlothen_Jayland_25</v>
          </cell>
        </row>
        <row r="678">
          <cell r="B678">
            <v>45835</v>
          </cell>
          <cell r="C678">
            <v>197.4</v>
          </cell>
          <cell r="D678" t="str">
            <v>McGough_Cal_25</v>
          </cell>
        </row>
        <row r="679">
          <cell r="B679">
            <v>45835</v>
          </cell>
          <cell r="C679">
            <v>284.8</v>
          </cell>
          <cell r="D679" t="str">
            <v>McKay_Richard_25</v>
          </cell>
        </row>
        <row r="680">
          <cell r="B680">
            <v>45835</v>
          </cell>
          <cell r="C680">
            <v>194</v>
          </cell>
          <cell r="D680" t="str">
            <v>McKenzie_Anta'Veon_25</v>
          </cell>
        </row>
        <row r="681">
          <cell r="B681">
            <v>45835</v>
          </cell>
          <cell r="C681">
            <v>182.6</v>
          </cell>
          <cell r="D681" t="str">
            <v>Meadors_Grant_25</v>
          </cell>
        </row>
        <row r="682">
          <cell r="B682">
            <v>45835</v>
          </cell>
          <cell r="C682">
            <v>296</v>
          </cell>
          <cell r="D682" t="str">
            <v>Meek_Aidan_25</v>
          </cell>
        </row>
        <row r="683">
          <cell r="B683">
            <v>45835</v>
          </cell>
          <cell r="C683">
            <v>187.8</v>
          </cell>
          <cell r="D683" t="str">
            <v>Melanson_Mike_25</v>
          </cell>
        </row>
        <row r="684">
          <cell r="B684">
            <v>45835</v>
          </cell>
          <cell r="C684">
            <v>201.6</v>
          </cell>
          <cell r="D684" t="str">
            <v>Mitchell_Naytel_25</v>
          </cell>
        </row>
        <row r="685">
          <cell r="B685">
            <v>45835</v>
          </cell>
          <cell r="C685">
            <v>322.60000000000002</v>
          </cell>
          <cell r="D685" t="str">
            <v>Moore_Jaxon_25</v>
          </cell>
        </row>
        <row r="686">
          <cell r="B686">
            <v>45835</v>
          </cell>
          <cell r="C686">
            <v>213</v>
          </cell>
          <cell r="D686" t="str">
            <v>Moore_Oscar_25</v>
          </cell>
        </row>
        <row r="687">
          <cell r="B687">
            <v>45835</v>
          </cell>
          <cell r="C687">
            <v>173</v>
          </cell>
          <cell r="D687" t="str">
            <v>Mullican_Elias_25</v>
          </cell>
        </row>
        <row r="688">
          <cell r="B688">
            <v>45835</v>
          </cell>
          <cell r="C688">
            <v>189.6</v>
          </cell>
          <cell r="D688" t="str">
            <v>NA</v>
          </cell>
        </row>
        <row r="689">
          <cell r="B689">
            <v>45835</v>
          </cell>
          <cell r="C689">
            <v>235.2</v>
          </cell>
          <cell r="D689" t="str">
            <v>Nelson_Gavin_25</v>
          </cell>
        </row>
        <row r="690">
          <cell r="B690">
            <v>45835</v>
          </cell>
          <cell r="C690">
            <v>175</v>
          </cell>
          <cell r="D690" t="str">
            <v>Nickens_Tye_25</v>
          </cell>
        </row>
        <row r="691">
          <cell r="B691">
            <v>45835</v>
          </cell>
          <cell r="C691">
            <v>260.8</v>
          </cell>
          <cell r="D691" t="str">
            <v>Norris_Sammy_25</v>
          </cell>
        </row>
        <row r="692">
          <cell r="B692">
            <v>45835</v>
          </cell>
          <cell r="C692">
            <v>171</v>
          </cell>
          <cell r="D692" t="str">
            <v>Oliver_Jason_25</v>
          </cell>
        </row>
        <row r="693">
          <cell r="B693">
            <v>45835</v>
          </cell>
          <cell r="C693">
            <v>300.60000000000002</v>
          </cell>
          <cell r="D693" t="str">
            <v>Ortiz_Elijah_25</v>
          </cell>
        </row>
        <row r="694">
          <cell r="B694">
            <v>45835</v>
          </cell>
          <cell r="C694">
            <v>224</v>
          </cell>
          <cell r="D694" t="str">
            <v>Puloka_Fata_25</v>
          </cell>
        </row>
        <row r="695">
          <cell r="B695">
            <v>45835</v>
          </cell>
          <cell r="C695">
            <v>187.6</v>
          </cell>
          <cell r="D695" t="str">
            <v>Rashada_Jaden_25</v>
          </cell>
        </row>
        <row r="696">
          <cell r="B696">
            <v>45835</v>
          </cell>
          <cell r="C696">
            <v>185.6</v>
          </cell>
          <cell r="D696" t="str">
            <v>Reese_Caleb_25</v>
          </cell>
        </row>
        <row r="697">
          <cell r="B697">
            <v>45835</v>
          </cell>
          <cell r="C697">
            <v>317.39999999999998</v>
          </cell>
          <cell r="D697" t="str">
            <v>Riley_Kenndel_25</v>
          </cell>
        </row>
        <row r="698">
          <cell r="B698">
            <v>45835</v>
          </cell>
          <cell r="C698">
            <v>223.8</v>
          </cell>
          <cell r="D698" t="str">
            <v>Robinson_Dontae_25</v>
          </cell>
        </row>
        <row r="699">
          <cell r="B699">
            <v>45835</v>
          </cell>
          <cell r="C699">
            <v>177</v>
          </cell>
          <cell r="D699" t="str">
            <v>Robinson_Jayden_25</v>
          </cell>
        </row>
        <row r="700">
          <cell r="B700">
            <v>45835</v>
          </cell>
          <cell r="C700">
            <v>218.8</v>
          </cell>
          <cell r="D700" t="str">
            <v>Rocha_Alex_25</v>
          </cell>
        </row>
        <row r="701">
          <cell r="B701">
            <v>45835</v>
          </cell>
          <cell r="C701">
            <v>245</v>
          </cell>
          <cell r="D701" t="str">
            <v>Scott_Brennon_25</v>
          </cell>
        </row>
        <row r="702">
          <cell r="B702">
            <v>45835</v>
          </cell>
          <cell r="C702">
            <v>267.8</v>
          </cell>
          <cell r="D702" t="str">
            <v>Slater_Luke_25</v>
          </cell>
        </row>
        <row r="703">
          <cell r="B703">
            <v>45835</v>
          </cell>
          <cell r="C703">
            <v>175</v>
          </cell>
          <cell r="D703" t="str">
            <v>Smith_Jaquail_25</v>
          </cell>
        </row>
        <row r="704">
          <cell r="B704">
            <v>45835</v>
          </cell>
          <cell r="C704">
            <v>191</v>
          </cell>
          <cell r="D704" t="str">
            <v>Smith_Onterrio_25</v>
          </cell>
        </row>
        <row r="705">
          <cell r="B705">
            <v>45835</v>
          </cell>
          <cell r="C705">
            <v>187.2</v>
          </cell>
          <cell r="D705" t="str">
            <v>Smith_Warren_25</v>
          </cell>
        </row>
        <row r="706">
          <cell r="B706">
            <v>45835</v>
          </cell>
          <cell r="C706">
            <v>189.2</v>
          </cell>
          <cell r="D706" t="str">
            <v>Solis_Jojo_25</v>
          </cell>
        </row>
        <row r="707">
          <cell r="B707">
            <v>45835</v>
          </cell>
          <cell r="C707">
            <v>308.60000000000002</v>
          </cell>
          <cell r="D707" t="str">
            <v>Soto_Jose_25</v>
          </cell>
        </row>
        <row r="708">
          <cell r="B708">
            <v>45835</v>
          </cell>
          <cell r="C708">
            <v>303.2</v>
          </cell>
          <cell r="D708" t="str">
            <v>Sousa_Brandon_25</v>
          </cell>
        </row>
        <row r="709">
          <cell r="B709">
            <v>45835</v>
          </cell>
          <cell r="C709">
            <v>280</v>
          </cell>
          <cell r="D709" t="str">
            <v>Speno_Joseph_25</v>
          </cell>
        </row>
        <row r="710">
          <cell r="B710">
            <v>45835</v>
          </cell>
          <cell r="C710">
            <v>347</v>
          </cell>
          <cell r="D710" t="str">
            <v>Stallworth_Jeremiah_25</v>
          </cell>
        </row>
        <row r="711">
          <cell r="B711">
            <v>45835</v>
          </cell>
          <cell r="C711">
            <v>295.60000000000002</v>
          </cell>
          <cell r="D711" t="str">
            <v>Swindle_Melvin_25</v>
          </cell>
        </row>
        <row r="712">
          <cell r="B712">
            <v>45835</v>
          </cell>
          <cell r="C712">
            <v>287.8</v>
          </cell>
          <cell r="D712" t="str">
            <v>Tagaloa_Brodie_25</v>
          </cell>
        </row>
        <row r="713">
          <cell r="B713">
            <v>45835</v>
          </cell>
          <cell r="C713">
            <v>229.8</v>
          </cell>
          <cell r="D713" t="str">
            <v>Tanner_Logan_25</v>
          </cell>
        </row>
        <row r="714">
          <cell r="B714">
            <v>45835</v>
          </cell>
          <cell r="C714">
            <v>163.80000000000001</v>
          </cell>
          <cell r="D714" t="str">
            <v>Taylor_Adam_25</v>
          </cell>
        </row>
        <row r="715">
          <cell r="B715">
            <v>45835</v>
          </cell>
          <cell r="C715">
            <v>192.2</v>
          </cell>
          <cell r="D715" t="str">
            <v>Taylor_Mike_25</v>
          </cell>
        </row>
        <row r="716">
          <cell r="B716">
            <v>45835</v>
          </cell>
          <cell r="C716">
            <v>193.6</v>
          </cell>
          <cell r="D716" t="str">
            <v>Thomson_Gavin_25</v>
          </cell>
        </row>
        <row r="717">
          <cell r="B717">
            <v>45835</v>
          </cell>
          <cell r="C717">
            <v>287.2</v>
          </cell>
          <cell r="D717" t="str">
            <v>Tullis_Malik_25</v>
          </cell>
        </row>
        <row r="718">
          <cell r="B718">
            <v>45835</v>
          </cell>
          <cell r="C718">
            <v>235.6</v>
          </cell>
          <cell r="D718" t="str">
            <v>Vi_Pita_25</v>
          </cell>
        </row>
        <row r="719">
          <cell r="B719">
            <v>45835</v>
          </cell>
          <cell r="C719">
            <v>181.4</v>
          </cell>
          <cell r="D719" t="str">
            <v>Williams_Cardell_25</v>
          </cell>
        </row>
        <row r="720">
          <cell r="B720">
            <v>45835</v>
          </cell>
          <cell r="C720">
            <v>191.2</v>
          </cell>
          <cell r="D720" t="str">
            <v>Williams_Jalen_25</v>
          </cell>
        </row>
        <row r="721">
          <cell r="B721">
            <v>45835</v>
          </cell>
          <cell r="C721">
            <v>220</v>
          </cell>
          <cell r="D721" t="str">
            <v>Williams_Jordan_25</v>
          </cell>
        </row>
        <row r="722">
          <cell r="B722">
            <v>45835</v>
          </cell>
          <cell r="C722">
            <v>247.4</v>
          </cell>
          <cell r="D722" t="str">
            <v>Williams_Xavier_25</v>
          </cell>
        </row>
        <row r="723">
          <cell r="B723">
            <v>45835</v>
          </cell>
          <cell r="C723">
            <v>215.8</v>
          </cell>
          <cell r="D723" t="str">
            <v>Wilson_Jace_25</v>
          </cell>
        </row>
        <row r="724">
          <cell r="B724">
            <v>45834</v>
          </cell>
          <cell r="C724">
            <v>297.2</v>
          </cell>
          <cell r="D724" t="str">
            <v>Abdullah_Dean_25</v>
          </cell>
        </row>
        <row r="725">
          <cell r="B725">
            <v>45834</v>
          </cell>
          <cell r="C725">
            <v>216.8</v>
          </cell>
          <cell r="D725" t="str">
            <v>Adams_Sam_25</v>
          </cell>
        </row>
        <row r="726">
          <cell r="B726">
            <v>45834</v>
          </cell>
          <cell r="C726">
            <v>187</v>
          </cell>
          <cell r="D726" t="str">
            <v>Akui_Koa_25</v>
          </cell>
        </row>
        <row r="727">
          <cell r="B727">
            <v>45834</v>
          </cell>
          <cell r="C727">
            <v>267.2</v>
          </cell>
          <cell r="D727" t="str">
            <v>Ambuehl_Davis_25</v>
          </cell>
        </row>
        <row r="728">
          <cell r="B728">
            <v>45834</v>
          </cell>
          <cell r="C728">
            <v>204.8</v>
          </cell>
          <cell r="D728" t="str">
            <v>Anderson_Hayden_25</v>
          </cell>
        </row>
        <row r="729">
          <cell r="B729">
            <v>45834</v>
          </cell>
          <cell r="C729">
            <v>173.8</v>
          </cell>
          <cell r="D729" t="str">
            <v>Anderson_Jordan_25</v>
          </cell>
        </row>
        <row r="730">
          <cell r="B730">
            <v>45834</v>
          </cell>
          <cell r="C730">
            <v>288.8</v>
          </cell>
          <cell r="D730" t="str">
            <v>Bailey_Miles_25</v>
          </cell>
        </row>
        <row r="731">
          <cell r="B731">
            <v>45834</v>
          </cell>
          <cell r="C731">
            <v>189.6</v>
          </cell>
          <cell r="D731" t="str">
            <v>Bass_Trey_25</v>
          </cell>
        </row>
        <row r="732">
          <cell r="B732">
            <v>45834</v>
          </cell>
          <cell r="C732">
            <v>219.2</v>
          </cell>
          <cell r="D732" t="str">
            <v>Boeddeker_Hunter_25</v>
          </cell>
        </row>
        <row r="733">
          <cell r="B733">
            <v>45834</v>
          </cell>
          <cell r="C733">
            <v>194.4</v>
          </cell>
          <cell r="D733" t="str">
            <v>Borders_Curron_25</v>
          </cell>
        </row>
        <row r="734">
          <cell r="B734">
            <v>45834</v>
          </cell>
          <cell r="C734">
            <v>231.4</v>
          </cell>
          <cell r="D734" t="str">
            <v>Brown_Elias_25</v>
          </cell>
        </row>
        <row r="735">
          <cell r="B735">
            <v>45834</v>
          </cell>
          <cell r="C735">
            <v>162.80000000000001</v>
          </cell>
          <cell r="D735" t="str">
            <v>Bryant_Ajon_25</v>
          </cell>
        </row>
        <row r="736">
          <cell r="B736">
            <v>45834</v>
          </cell>
          <cell r="C736">
            <v>201.8</v>
          </cell>
          <cell r="D736" t="str">
            <v>Cahoon_Jackson_25</v>
          </cell>
        </row>
        <row r="737">
          <cell r="B737">
            <v>45834</v>
          </cell>
          <cell r="C737">
            <v>140.6</v>
          </cell>
          <cell r="D737" t="str">
            <v>Campbell_Ernest_25</v>
          </cell>
        </row>
        <row r="738">
          <cell r="B738">
            <v>45834</v>
          </cell>
          <cell r="C738">
            <v>235.4</v>
          </cell>
          <cell r="D738" t="str">
            <v>Cashiola_Josh_25</v>
          </cell>
        </row>
        <row r="739">
          <cell r="B739">
            <v>45834</v>
          </cell>
          <cell r="C739">
            <v>172.8</v>
          </cell>
          <cell r="D739" t="str">
            <v>Chouteau_Lono_25</v>
          </cell>
        </row>
        <row r="740">
          <cell r="B740">
            <v>45834</v>
          </cell>
          <cell r="C740">
            <v>159.6</v>
          </cell>
          <cell r="D740" t="str">
            <v>Conerly_Tim_25</v>
          </cell>
        </row>
        <row r="741">
          <cell r="B741">
            <v>45834</v>
          </cell>
          <cell r="C741">
            <v>169.8</v>
          </cell>
          <cell r="D741" t="str">
            <v>Curtis_Jamar_25</v>
          </cell>
        </row>
        <row r="742">
          <cell r="B742">
            <v>45834</v>
          </cell>
          <cell r="C742">
            <v>233.6</v>
          </cell>
          <cell r="D742" t="str">
            <v>Davis_Diego_25</v>
          </cell>
        </row>
        <row r="743">
          <cell r="B743">
            <v>45834</v>
          </cell>
          <cell r="C743">
            <v>197.6</v>
          </cell>
          <cell r="D743" t="str">
            <v>Emerson_Yebrell_25</v>
          </cell>
        </row>
        <row r="744">
          <cell r="B744">
            <v>45834</v>
          </cell>
          <cell r="C744">
            <v>226.2</v>
          </cell>
          <cell r="D744" t="str">
            <v>Eskridge_Matthew_25</v>
          </cell>
        </row>
        <row r="745">
          <cell r="B745">
            <v>45834</v>
          </cell>
          <cell r="C745">
            <v>172.8</v>
          </cell>
          <cell r="D745" t="str">
            <v>Fernandez_Tre_25</v>
          </cell>
        </row>
        <row r="746">
          <cell r="B746">
            <v>45834</v>
          </cell>
          <cell r="C746">
            <v>183.6</v>
          </cell>
          <cell r="D746" t="str">
            <v>Firebaugh_Joseph_25</v>
          </cell>
        </row>
        <row r="747">
          <cell r="B747">
            <v>45834</v>
          </cell>
          <cell r="C747">
            <v>170</v>
          </cell>
          <cell r="D747" t="str">
            <v>Fresques_Jaxon_25</v>
          </cell>
        </row>
        <row r="748">
          <cell r="B748">
            <v>45834</v>
          </cell>
          <cell r="C748">
            <v>190.6</v>
          </cell>
          <cell r="D748" t="str">
            <v>Garner_Drey_25</v>
          </cell>
        </row>
        <row r="749">
          <cell r="B749">
            <v>45834</v>
          </cell>
          <cell r="C749">
            <v>314.39999999999998</v>
          </cell>
          <cell r="D749" t="str">
            <v>Gillespie_James_25</v>
          </cell>
        </row>
        <row r="750">
          <cell r="B750">
            <v>45834</v>
          </cell>
          <cell r="C750">
            <v>218.6</v>
          </cell>
          <cell r="D750" t="str">
            <v>Gooden_Dylan_25</v>
          </cell>
        </row>
        <row r="751">
          <cell r="B751">
            <v>45834</v>
          </cell>
          <cell r="C751">
            <v>178.2</v>
          </cell>
          <cell r="D751" t="str">
            <v>Gordon_Diesel_25</v>
          </cell>
        </row>
        <row r="752">
          <cell r="B752">
            <v>45834</v>
          </cell>
          <cell r="C752">
            <v>295.60000000000002</v>
          </cell>
          <cell r="D752" t="str">
            <v>Gretlein_Cade_25</v>
          </cell>
        </row>
        <row r="753">
          <cell r="B753">
            <v>45834</v>
          </cell>
          <cell r="C753">
            <v>188.6</v>
          </cell>
          <cell r="D753" t="str">
            <v>Hall_Agiye_25</v>
          </cell>
        </row>
        <row r="754">
          <cell r="B754">
            <v>45834</v>
          </cell>
          <cell r="C754">
            <v>193.6</v>
          </cell>
          <cell r="D754" t="str">
            <v>Hammond_Rodney_25</v>
          </cell>
        </row>
        <row r="755">
          <cell r="B755">
            <v>45834</v>
          </cell>
          <cell r="C755">
            <v>242.4</v>
          </cell>
          <cell r="D755" t="str">
            <v>Hampsten_Dylan_25</v>
          </cell>
        </row>
        <row r="756">
          <cell r="B756">
            <v>45834</v>
          </cell>
          <cell r="C756">
            <v>295</v>
          </cell>
          <cell r="D756" t="str">
            <v>Hays_Sawyer_25</v>
          </cell>
        </row>
        <row r="757">
          <cell r="B757">
            <v>45834</v>
          </cell>
          <cell r="C757">
            <v>206.4</v>
          </cell>
          <cell r="D757" t="str">
            <v>Henderson_Damian_25</v>
          </cell>
        </row>
        <row r="758">
          <cell r="B758">
            <v>45834</v>
          </cell>
          <cell r="C758">
            <v>341.6</v>
          </cell>
          <cell r="D758" t="str">
            <v>Herman_Jordan_25</v>
          </cell>
        </row>
        <row r="759">
          <cell r="B759">
            <v>45834</v>
          </cell>
          <cell r="C759">
            <v>198.4</v>
          </cell>
          <cell r="D759" t="str">
            <v>Higgins_Kaleb_25</v>
          </cell>
        </row>
        <row r="760">
          <cell r="B760">
            <v>45834</v>
          </cell>
          <cell r="C760">
            <v>182</v>
          </cell>
          <cell r="D760" t="str">
            <v>Hood_Jamal_25</v>
          </cell>
        </row>
        <row r="761">
          <cell r="B761">
            <v>45834</v>
          </cell>
          <cell r="C761">
            <v>227.2</v>
          </cell>
          <cell r="D761" t="str">
            <v>Houston_Derek_25</v>
          </cell>
        </row>
        <row r="762">
          <cell r="B762">
            <v>45834</v>
          </cell>
          <cell r="C762">
            <v>210</v>
          </cell>
          <cell r="D762" t="str">
            <v>Huddle_Elijah_25</v>
          </cell>
        </row>
        <row r="763">
          <cell r="B763">
            <v>45834</v>
          </cell>
          <cell r="C763">
            <v>304</v>
          </cell>
          <cell r="D763" t="str">
            <v>Jefferson_Jordan_25</v>
          </cell>
        </row>
        <row r="764">
          <cell r="B764">
            <v>45834</v>
          </cell>
          <cell r="C764">
            <v>203</v>
          </cell>
          <cell r="D764" t="str">
            <v>Jefferson_KJ_25</v>
          </cell>
        </row>
        <row r="765">
          <cell r="B765">
            <v>45834</v>
          </cell>
          <cell r="C765">
            <v>186.6</v>
          </cell>
          <cell r="D765" t="str">
            <v>Johnson-Burrell_Lamont_25</v>
          </cell>
        </row>
        <row r="766">
          <cell r="B766">
            <v>45834</v>
          </cell>
          <cell r="C766">
            <v>213.6</v>
          </cell>
          <cell r="D766" t="str">
            <v>Johnston_Adam_25</v>
          </cell>
        </row>
        <row r="767">
          <cell r="B767">
            <v>45834</v>
          </cell>
          <cell r="C767">
            <v>225</v>
          </cell>
          <cell r="D767" t="str">
            <v>Jones_Jekob_25</v>
          </cell>
        </row>
        <row r="768">
          <cell r="B768">
            <v>45834</v>
          </cell>
          <cell r="C768">
            <v>329.6</v>
          </cell>
          <cell r="D768" t="str">
            <v>Kindle_Malachi_25</v>
          </cell>
        </row>
        <row r="769">
          <cell r="B769">
            <v>45834</v>
          </cell>
          <cell r="C769">
            <v>299.39999999999998</v>
          </cell>
          <cell r="D769" t="str">
            <v>Kovacs_Giovanni_25</v>
          </cell>
        </row>
        <row r="770">
          <cell r="B770">
            <v>45834</v>
          </cell>
          <cell r="C770">
            <v>162</v>
          </cell>
          <cell r="D770" t="str">
            <v>Lee_Ricky_25</v>
          </cell>
        </row>
        <row r="771">
          <cell r="B771">
            <v>45834</v>
          </cell>
          <cell r="C771">
            <v>208.4</v>
          </cell>
          <cell r="D771" t="str">
            <v>Malone_Jamar_25</v>
          </cell>
        </row>
        <row r="772">
          <cell r="B772">
            <v>45834</v>
          </cell>
          <cell r="C772">
            <v>345.2</v>
          </cell>
          <cell r="D772" t="str">
            <v>Massey_Syncere_25</v>
          </cell>
        </row>
        <row r="773">
          <cell r="B773">
            <v>45834</v>
          </cell>
          <cell r="C773">
            <v>325.39999999999998</v>
          </cell>
          <cell r="D773" t="str">
            <v>May_Davis_25</v>
          </cell>
        </row>
        <row r="774">
          <cell r="B774">
            <v>45834</v>
          </cell>
          <cell r="C774">
            <v>188.4</v>
          </cell>
          <cell r="D774" t="str">
            <v>McDowell_Connor_25</v>
          </cell>
        </row>
        <row r="775">
          <cell r="B775">
            <v>45834</v>
          </cell>
          <cell r="C775">
            <v>276.8</v>
          </cell>
          <cell r="D775" t="str">
            <v>McGlothen_Jayland_25</v>
          </cell>
        </row>
        <row r="776">
          <cell r="B776">
            <v>45834</v>
          </cell>
          <cell r="C776">
            <v>194.2</v>
          </cell>
          <cell r="D776" t="str">
            <v>McGough_Cal_25</v>
          </cell>
        </row>
        <row r="777">
          <cell r="B777">
            <v>45834</v>
          </cell>
          <cell r="C777">
            <v>286.8</v>
          </cell>
          <cell r="D777" t="str">
            <v>McKay_Richard_25</v>
          </cell>
        </row>
        <row r="778">
          <cell r="B778">
            <v>45834</v>
          </cell>
          <cell r="C778">
            <v>192.6</v>
          </cell>
          <cell r="D778" t="str">
            <v>McKenzie_Anta'Veon_25</v>
          </cell>
        </row>
        <row r="779">
          <cell r="B779">
            <v>45834</v>
          </cell>
          <cell r="C779">
            <v>182</v>
          </cell>
          <cell r="D779" t="str">
            <v>Meadors_Grant_25</v>
          </cell>
        </row>
        <row r="780">
          <cell r="B780">
            <v>45834</v>
          </cell>
          <cell r="C780">
            <v>294.39999999999998</v>
          </cell>
          <cell r="D780" t="str">
            <v>Meek_Aidan_25</v>
          </cell>
        </row>
        <row r="781">
          <cell r="B781">
            <v>45834</v>
          </cell>
          <cell r="C781">
            <v>180.4</v>
          </cell>
          <cell r="D781" t="str">
            <v>Melanson_Mike_25</v>
          </cell>
        </row>
        <row r="782">
          <cell r="B782">
            <v>45834</v>
          </cell>
          <cell r="C782">
            <v>199.6</v>
          </cell>
          <cell r="D782" t="str">
            <v>Mitchell_Naytel_25</v>
          </cell>
        </row>
        <row r="783">
          <cell r="B783">
            <v>45834</v>
          </cell>
          <cell r="C783">
            <v>323.2</v>
          </cell>
          <cell r="D783" t="str">
            <v>Moore_Jaxon_25</v>
          </cell>
        </row>
        <row r="784">
          <cell r="B784">
            <v>45834</v>
          </cell>
          <cell r="C784">
            <v>215.2</v>
          </cell>
          <cell r="D784" t="str">
            <v>Moore_Oscar_25</v>
          </cell>
        </row>
        <row r="785">
          <cell r="B785">
            <v>45834</v>
          </cell>
          <cell r="C785">
            <v>172.4</v>
          </cell>
          <cell r="D785" t="str">
            <v>Mullican_Elias_25</v>
          </cell>
        </row>
        <row r="786">
          <cell r="B786">
            <v>45834</v>
          </cell>
          <cell r="C786">
            <v>192.2</v>
          </cell>
          <cell r="D786" t="str">
            <v>NA</v>
          </cell>
        </row>
        <row r="787">
          <cell r="B787">
            <v>45834</v>
          </cell>
          <cell r="C787">
            <v>236.8</v>
          </cell>
          <cell r="D787" t="str">
            <v>Nelson_Gavin_25</v>
          </cell>
        </row>
        <row r="788">
          <cell r="B788">
            <v>45834</v>
          </cell>
          <cell r="C788">
            <v>175</v>
          </cell>
          <cell r="D788" t="str">
            <v>Nickens_Tye_25</v>
          </cell>
        </row>
        <row r="789">
          <cell r="B789">
            <v>45834</v>
          </cell>
          <cell r="C789">
            <v>258.39999999999998</v>
          </cell>
          <cell r="D789" t="str">
            <v>Norris_Sammy_25</v>
          </cell>
        </row>
        <row r="790">
          <cell r="B790">
            <v>45834</v>
          </cell>
          <cell r="C790">
            <v>173.2</v>
          </cell>
          <cell r="D790" t="str">
            <v>Oliver_Jason_25</v>
          </cell>
        </row>
        <row r="791">
          <cell r="B791">
            <v>45834</v>
          </cell>
          <cell r="C791">
            <v>300.8</v>
          </cell>
          <cell r="D791" t="str">
            <v>Ortiz_Elijah_25</v>
          </cell>
        </row>
        <row r="792">
          <cell r="B792">
            <v>45834</v>
          </cell>
          <cell r="C792">
            <v>225.8</v>
          </cell>
          <cell r="D792" t="str">
            <v>Puloka_Fata_25</v>
          </cell>
        </row>
        <row r="793">
          <cell r="B793">
            <v>45834</v>
          </cell>
          <cell r="C793">
            <v>188.2</v>
          </cell>
          <cell r="D793" t="str">
            <v>Rashada_Jaden_25</v>
          </cell>
        </row>
        <row r="794">
          <cell r="B794">
            <v>45834</v>
          </cell>
          <cell r="C794">
            <v>229.6</v>
          </cell>
          <cell r="D794" t="str">
            <v>Red_Savion_25</v>
          </cell>
        </row>
        <row r="795">
          <cell r="B795">
            <v>45834</v>
          </cell>
          <cell r="C795">
            <v>184.6</v>
          </cell>
          <cell r="D795" t="str">
            <v>Reese_Caleb_25</v>
          </cell>
        </row>
        <row r="796">
          <cell r="B796">
            <v>45834</v>
          </cell>
          <cell r="C796">
            <v>315.39999999999998</v>
          </cell>
          <cell r="D796" t="str">
            <v>Riley_Kenndel_25</v>
          </cell>
        </row>
        <row r="797">
          <cell r="B797">
            <v>45834</v>
          </cell>
          <cell r="C797">
            <v>225</v>
          </cell>
          <cell r="D797" t="str">
            <v>Robinson_Dontae_25</v>
          </cell>
        </row>
        <row r="798">
          <cell r="B798">
            <v>45834</v>
          </cell>
          <cell r="C798">
            <v>178</v>
          </cell>
          <cell r="D798" t="str">
            <v>Robinson_Jayden_25</v>
          </cell>
        </row>
        <row r="799">
          <cell r="B799">
            <v>45834</v>
          </cell>
          <cell r="C799">
            <v>218.6</v>
          </cell>
          <cell r="D799" t="str">
            <v>Rocha_Alex_25</v>
          </cell>
        </row>
        <row r="800">
          <cell r="B800">
            <v>45834</v>
          </cell>
          <cell r="C800">
            <v>264</v>
          </cell>
          <cell r="D800" t="str">
            <v>Ross_Kris_25</v>
          </cell>
        </row>
        <row r="801">
          <cell r="B801">
            <v>45834</v>
          </cell>
          <cell r="C801">
            <v>240.8</v>
          </cell>
          <cell r="D801" t="str">
            <v>Scott_Brennon_25</v>
          </cell>
        </row>
        <row r="802">
          <cell r="B802">
            <v>45834</v>
          </cell>
          <cell r="C802">
            <v>269</v>
          </cell>
          <cell r="D802" t="str">
            <v>Slater_Luke_25</v>
          </cell>
        </row>
        <row r="803">
          <cell r="B803">
            <v>45834</v>
          </cell>
          <cell r="C803">
            <v>176.2</v>
          </cell>
          <cell r="D803" t="str">
            <v>Smith_Jaquail_25</v>
          </cell>
        </row>
        <row r="804">
          <cell r="B804">
            <v>45834</v>
          </cell>
          <cell r="C804">
            <v>193.2</v>
          </cell>
          <cell r="D804" t="str">
            <v>Smith_Onterrio_25</v>
          </cell>
        </row>
        <row r="805">
          <cell r="B805">
            <v>45834</v>
          </cell>
          <cell r="C805">
            <v>187.6</v>
          </cell>
          <cell r="D805" t="str">
            <v>Smith_Warren_25</v>
          </cell>
        </row>
        <row r="806">
          <cell r="B806">
            <v>45834</v>
          </cell>
          <cell r="C806">
            <v>191.4</v>
          </cell>
          <cell r="D806" t="str">
            <v>Solis_Jojo_25</v>
          </cell>
        </row>
        <row r="807">
          <cell r="B807">
            <v>45834</v>
          </cell>
          <cell r="C807">
            <v>312.8</v>
          </cell>
          <cell r="D807" t="str">
            <v>Soto_Jose_25</v>
          </cell>
        </row>
        <row r="808">
          <cell r="B808">
            <v>45834</v>
          </cell>
          <cell r="C808">
            <v>303.60000000000002</v>
          </cell>
          <cell r="D808" t="str">
            <v>Sousa_Brandon_25</v>
          </cell>
        </row>
        <row r="809">
          <cell r="B809">
            <v>45834</v>
          </cell>
          <cell r="C809">
            <v>280.8</v>
          </cell>
          <cell r="D809" t="str">
            <v>Speno_Joseph_25</v>
          </cell>
        </row>
        <row r="810">
          <cell r="B810">
            <v>45834</v>
          </cell>
          <cell r="C810">
            <v>349.6</v>
          </cell>
          <cell r="D810" t="str">
            <v>Stallworth_Jeremiah_25</v>
          </cell>
        </row>
        <row r="811">
          <cell r="B811">
            <v>45834</v>
          </cell>
          <cell r="C811">
            <v>314</v>
          </cell>
          <cell r="D811" t="str">
            <v>Summers_Bryson_25</v>
          </cell>
        </row>
        <row r="812">
          <cell r="B812">
            <v>45834</v>
          </cell>
          <cell r="C812">
            <v>296.39999999999998</v>
          </cell>
          <cell r="D812" t="str">
            <v>Swindle_Melvin_25</v>
          </cell>
        </row>
        <row r="813">
          <cell r="B813">
            <v>45834</v>
          </cell>
          <cell r="C813">
            <v>286.60000000000002</v>
          </cell>
          <cell r="D813" t="str">
            <v>Tagaloa_Brodie_25</v>
          </cell>
        </row>
        <row r="814">
          <cell r="B814">
            <v>45834</v>
          </cell>
          <cell r="C814">
            <v>229.4</v>
          </cell>
          <cell r="D814" t="str">
            <v>Tanner_Logan_25</v>
          </cell>
        </row>
        <row r="815">
          <cell r="B815">
            <v>45834</v>
          </cell>
          <cell r="C815">
            <v>163.6</v>
          </cell>
          <cell r="D815" t="str">
            <v>Taylor_Adam_25</v>
          </cell>
        </row>
        <row r="816">
          <cell r="B816">
            <v>45834</v>
          </cell>
          <cell r="C816">
            <v>191</v>
          </cell>
          <cell r="D816" t="str">
            <v>Taylor_Mike_25</v>
          </cell>
        </row>
        <row r="817">
          <cell r="B817">
            <v>45834</v>
          </cell>
          <cell r="C817">
            <v>192.8</v>
          </cell>
          <cell r="D817" t="str">
            <v>Thomson_Gavin_25</v>
          </cell>
        </row>
        <row r="818">
          <cell r="B818">
            <v>45834</v>
          </cell>
          <cell r="C818">
            <v>286.39999999999998</v>
          </cell>
          <cell r="D818" t="str">
            <v>Tullis_Malik_25</v>
          </cell>
        </row>
        <row r="819">
          <cell r="B819">
            <v>45834</v>
          </cell>
          <cell r="C819">
            <v>232.6</v>
          </cell>
          <cell r="D819" t="str">
            <v>Vi_Pita_25</v>
          </cell>
        </row>
        <row r="820">
          <cell r="B820">
            <v>45834</v>
          </cell>
          <cell r="C820">
            <v>181.2</v>
          </cell>
          <cell r="D820" t="str">
            <v>Williams_Cardell_25</v>
          </cell>
        </row>
        <row r="821">
          <cell r="B821">
            <v>45834</v>
          </cell>
          <cell r="C821">
            <v>191.4</v>
          </cell>
          <cell r="D821" t="str">
            <v>Williams_Jalen_25</v>
          </cell>
        </row>
        <row r="822">
          <cell r="B822">
            <v>45834</v>
          </cell>
          <cell r="C822">
            <v>221.6</v>
          </cell>
          <cell r="D822" t="str">
            <v>Williams_Jordan_25</v>
          </cell>
        </row>
        <row r="823">
          <cell r="B823">
            <v>45834</v>
          </cell>
          <cell r="C823">
            <v>245.2</v>
          </cell>
          <cell r="D823" t="str">
            <v>Williams_Xavier_25</v>
          </cell>
        </row>
        <row r="824">
          <cell r="B824">
            <v>45834</v>
          </cell>
          <cell r="C824">
            <v>216.8</v>
          </cell>
          <cell r="D824" t="str">
            <v>Wilson_Jace_25</v>
          </cell>
        </row>
        <row r="825">
          <cell r="B825">
            <v>45834</v>
          </cell>
          <cell r="C825">
            <v>204</v>
          </cell>
          <cell r="D825" t="str">
            <v>Wright_Deven_25</v>
          </cell>
        </row>
        <row r="826">
          <cell r="B826">
            <v>45832</v>
          </cell>
          <cell r="C826">
            <v>295</v>
          </cell>
          <cell r="D826" t="str">
            <v>Abdullah_Dean_25</v>
          </cell>
        </row>
        <row r="827">
          <cell r="B827">
            <v>45832</v>
          </cell>
          <cell r="C827">
            <v>219.4</v>
          </cell>
          <cell r="D827" t="str">
            <v>Adams_Sam_25</v>
          </cell>
        </row>
        <row r="828">
          <cell r="B828">
            <v>45832</v>
          </cell>
          <cell r="C828">
            <v>185.8</v>
          </cell>
          <cell r="D828" t="str">
            <v>Akui_Koa_25</v>
          </cell>
        </row>
        <row r="829">
          <cell r="B829">
            <v>45832</v>
          </cell>
          <cell r="C829">
            <v>263.60000000000002</v>
          </cell>
          <cell r="D829" t="str">
            <v>Ambuehl_Davis_25</v>
          </cell>
        </row>
        <row r="830">
          <cell r="B830">
            <v>45832</v>
          </cell>
          <cell r="C830">
            <v>201.4</v>
          </cell>
          <cell r="D830" t="str">
            <v>Anderson_Hayden_25</v>
          </cell>
        </row>
        <row r="831">
          <cell r="B831">
            <v>45832</v>
          </cell>
          <cell r="C831">
            <v>174.8</v>
          </cell>
          <cell r="D831" t="str">
            <v>Anderson_Jordan_25</v>
          </cell>
        </row>
        <row r="832">
          <cell r="B832">
            <v>45832</v>
          </cell>
          <cell r="C832">
            <v>286</v>
          </cell>
          <cell r="D832" t="str">
            <v>Bailey_Miles_25</v>
          </cell>
        </row>
        <row r="833">
          <cell r="B833">
            <v>45832</v>
          </cell>
          <cell r="C833">
            <v>190.2</v>
          </cell>
          <cell r="D833" t="str">
            <v>Bass_Trey_25</v>
          </cell>
        </row>
        <row r="834">
          <cell r="B834">
            <v>45832</v>
          </cell>
          <cell r="C834">
            <v>218.2</v>
          </cell>
          <cell r="D834" t="str">
            <v>Boeddeker_Hunter_25</v>
          </cell>
        </row>
        <row r="835">
          <cell r="B835">
            <v>45832</v>
          </cell>
          <cell r="C835">
            <v>198.5</v>
          </cell>
          <cell r="D835" t="str">
            <v>Borders_Curron_25</v>
          </cell>
        </row>
        <row r="836">
          <cell r="B836">
            <v>45832</v>
          </cell>
          <cell r="C836">
            <v>231.6</v>
          </cell>
          <cell r="D836" t="str">
            <v>Brown_Elias_25</v>
          </cell>
        </row>
        <row r="837">
          <cell r="B837">
            <v>45832</v>
          </cell>
          <cell r="C837">
            <v>160</v>
          </cell>
          <cell r="D837" t="str">
            <v>Bryant_Ajon_25</v>
          </cell>
        </row>
        <row r="838">
          <cell r="B838">
            <v>45832</v>
          </cell>
          <cell r="C838">
            <v>198.8</v>
          </cell>
          <cell r="D838" t="str">
            <v>Cahoon_Jackson_25</v>
          </cell>
        </row>
        <row r="839">
          <cell r="B839">
            <v>45832</v>
          </cell>
          <cell r="C839">
            <v>140</v>
          </cell>
          <cell r="D839" t="str">
            <v>Campbell_Ernest_25</v>
          </cell>
        </row>
        <row r="840">
          <cell r="B840">
            <v>45832</v>
          </cell>
          <cell r="C840">
            <v>233</v>
          </cell>
          <cell r="D840" t="str">
            <v>Cashiola_Josh_25</v>
          </cell>
        </row>
        <row r="841">
          <cell r="B841">
            <v>45832</v>
          </cell>
          <cell r="C841">
            <v>158.6</v>
          </cell>
          <cell r="D841" t="str">
            <v>Conerly_Tim_25</v>
          </cell>
        </row>
        <row r="842">
          <cell r="B842">
            <v>45832</v>
          </cell>
          <cell r="C842">
            <v>167.2</v>
          </cell>
          <cell r="D842" t="str">
            <v>Curtis_Jamar_25</v>
          </cell>
        </row>
        <row r="843">
          <cell r="B843">
            <v>45832</v>
          </cell>
          <cell r="C843">
            <v>234.6</v>
          </cell>
          <cell r="D843" t="str">
            <v>Davis_Diego_25</v>
          </cell>
        </row>
        <row r="844">
          <cell r="B844">
            <v>45832</v>
          </cell>
          <cell r="C844">
            <v>194.8</v>
          </cell>
          <cell r="D844" t="str">
            <v>Emerson_Yebrell_25</v>
          </cell>
        </row>
        <row r="845">
          <cell r="B845">
            <v>45832</v>
          </cell>
          <cell r="C845">
            <v>225.8</v>
          </cell>
          <cell r="D845" t="str">
            <v>Eskridge_Matthew_25</v>
          </cell>
        </row>
        <row r="846">
          <cell r="B846">
            <v>45832</v>
          </cell>
          <cell r="C846">
            <v>173.4</v>
          </cell>
          <cell r="D846" t="str">
            <v>Fernandez_Tre_25</v>
          </cell>
        </row>
        <row r="847">
          <cell r="B847">
            <v>45832</v>
          </cell>
          <cell r="C847">
            <v>183.4</v>
          </cell>
          <cell r="D847" t="str">
            <v>Firebaugh_Joseph_25</v>
          </cell>
        </row>
        <row r="848">
          <cell r="B848">
            <v>45832</v>
          </cell>
          <cell r="C848">
            <v>167</v>
          </cell>
          <cell r="D848" t="str">
            <v>Fresques_Jaxon_25</v>
          </cell>
        </row>
        <row r="849">
          <cell r="B849">
            <v>45832</v>
          </cell>
          <cell r="C849">
            <v>190.6</v>
          </cell>
          <cell r="D849" t="str">
            <v>Garner_Drey_25</v>
          </cell>
        </row>
        <row r="850">
          <cell r="B850">
            <v>45832</v>
          </cell>
          <cell r="C850">
            <v>315</v>
          </cell>
          <cell r="D850" t="str">
            <v>Gillespie_James_25</v>
          </cell>
        </row>
        <row r="851">
          <cell r="B851">
            <v>45832</v>
          </cell>
          <cell r="C851">
            <v>217.2</v>
          </cell>
          <cell r="D851" t="str">
            <v>Gooden_Dylan_25</v>
          </cell>
        </row>
        <row r="852">
          <cell r="B852">
            <v>45832</v>
          </cell>
          <cell r="C852">
            <v>179.4</v>
          </cell>
          <cell r="D852" t="str">
            <v>Gordon_Diesel_25</v>
          </cell>
        </row>
        <row r="853">
          <cell r="B853">
            <v>45832</v>
          </cell>
          <cell r="C853">
            <v>296.60000000000002</v>
          </cell>
          <cell r="D853" t="str">
            <v>Gretlein_Cade_25</v>
          </cell>
        </row>
        <row r="854">
          <cell r="B854">
            <v>45832</v>
          </cell>
          <cell r="C854">
            <v>192.8</v>
          </cell>
          <cell r="D854" t="str">
            <v>Hammond_Rodney_25</v>
          </cell>
        </row>
        <row r="855">
          <cell r="B855">
            <v>45832</v>
          </cell>
          <cell r="C855">
            <v>241.2</v>
          </cell>
          <cell r="D855" t="str">
            <v>Hampsten_Dylan_25</v>
          </cell>
        </row>
        <row r="856">
          <cell r="B856">
            <v>45832</v>
          </cell>
          <cell r="C856">
            <v>294.2</v>
          </cell>
          <cell r="D856" t="str">
            <v>Hays_Sawyer_25</v>
          </cell>
        </row>
        <row r="857">
          <cell r="B857">
            <v>45832</v>
          </cell>
          <cell r="C857">
            <v>205</v>
          </cell>
          <cell r="D857" t="str">
            <v>Henderson_Damian_25</v>
          </cell>
        </row>
        <row r="858">
          <cell r="B858">
            <v>45832</v>
          </cell>
          <cell r="C858">
            <v>343</v>
          </cell>
          <cell r="D858" t="str">
            <v>Herman_Jordan_25</v>
          </cell>
        </row>
        <row r="859">
          <cell r="B859">
            <v>45832</v>
          </cell>
          <cell r="C859">
            <v>196.4</v>
          </cell>
          <cell r="D859" t="str">
            <v>Higgins_Kaleb_25</v>
          </cell>
        </row>
        <row r="860">
          <cell r="B860">
            <v>45832</v>
          </cell>
          <cell r="C860">
            <v>182.2</v>
          </cell>
          <cell r="D860" t="str">
            <v>Hood_Jamal_25</v>
          </cell>
        </row>
        <row r="861">
          <cell r="B861">
            <v>45832</v>
          </cell>
          <cell r="C861">
            <v>229.8</v>
          </cell>
          <cell r="D861" t="str">
            <v>Houston_Derek_25</v>
          </cell>
        </row>
        <row r="862">
          <cell r="B862">
            <v>45832</v>
          </cell>
          <cell r="C862">
            <v>210.6</v>
          </cell>
          <cell r="D862" t="str">
            <v>Huddle_Elijah_25</v>
          </cell>
        </row>
        <row r="863">
          <cell r="B863">
            <v>45832</v>
          </cell>
          <cell r="C863">
            <v>303.39999999999998</v>
          </cell>
          <cell r="D863" t="str">
            <v>Jefferson_Jordan_25</v>
          </cell>
        </row>
        <row r="864">
          <cell r="B864">
            <v>45832</v>
          </cell>
          <cell r="C864">
            <v>201.2</v>
          </cell>
          <cell r="D864" t="str">
            <v>Jefferson_KJ_25</v>
          </cell>
        </row>
        <row r="865">
          <cell r="B865">
            <v>45832</v>
          </cell>
          <cell r="C865">
            <v>186.4</v>
          </cell>
          <cell r="D865" t="str">
            <v>Johnson-Burrell_Lamont_25</v>
          </cell>
        </row>
        <row r="866">
          <cell r="B866">
            <v>45832</v>
          </cell>
          <cell r="C866">
            <v>211</v>
          </cell>
          <cell r="D866" t="str">
            <v>Johnston_Adam_25</v>
          </cell>
        </row>
        <row r="867">
          <cell r="B867">
            <v>45832</v>
          </cell>
          <cell r="C867">
            <v>222.8</v>
          </cell>
          <cell r="D867" t="str">
            <v>Jones_Jekob_25</v>
          </cell>
        </row>
        <row r="868">
          <cell r="B868">
            <v>45832</v>
          </cell>
          <cell r="C868">
            <v>328.8</v>
          </cell>
          <cell r="D868" t="str">
            <v>Kindle_Malachi_25</v>
          </cell>
        </row>
        <row r="869">
          <cell r="B869">
            <v>45832</v>
          </cell>
          <cell r="C869">
            <v>295.2</v>
          </cell>
          <cell r="D869" t="str">
            <v>Kovacs_Giovanni_25</v>
          </cell>
        </row>
        <row r="870">
          <cell r="B870">
            <v>45832</v>
          </cell>
          <cell r="C870">
            <v>159</v>
          </cell>
          <cell r="D870" t="str">
            <v>Lee_Ricky_25</v>
          </cell>
        </row>
        <row r="871">
          <cell r="B871">
            <v>45832</v>
          </cell>
          <cell r="C871">
            <v>208</v>
          </cell>
          <cell r="D871" t="str">
            <v>Malone_Jamar_25</v>
          </cell>
        </row>
        <row r="872">
          <cell r="B872">
            <v>45832</v>
          </cell>
          <cell r="C872">
            <v>342.4</v>
          </cell>
          <cell r="D872" t="str">
            <v>Massey_Syncere_25</v>
          </cell>
        </row>
        <row r="873">
          <cell r="B873">
            <v>45832</v>
          </cell>
          <cell r="C873">
            <v>328.2</v>
          </cell>
          <cell r="D873" t="str">
            <v>May_Davis_25</v>
          </cell>
        </row>
        <row r="874">
          <cell r="B874">
            <v>45832</v>
          </cell>
          <cell r="C874">
            <v>187.5</v>
          </cell>
          <cell r="D874" t="str">
            <v>McDowell_Connor_25</v>
          </cell>
        </row>
        <row r="875">
          <cell r="B875">
            <v>45832</v>
          </cell>
          <cell r="C875">
            <v>280.39999999999998</v>
          </cell>
          <cell r="D875" t="str">
            <v>McGlothen_Jayland_25</v>
          </cell>
        </row>
        <row r="876">
          <cell r="B876">
            <v>45832</v>
          </cell>
          <cell r="C876">
            <v>193.6</v>
          </cell>
          <cell r="D876" t="str">
            <v>McGough_Cal_25</v>
          </cell>
        </row>
        <row r="877">
          <cell r="B877">
            <v>45832</v>
          </cell>
          <cell r="C877">
            <v>288.2</v>
          </cell>
          <cell r="D877" t="str">
            <v>McKay_Richard_25</v>
          </cell>
        </row>
        <row r="878">
          <cell r="B878">
            <v>45832</v>
          </cell>
          <cell r="C878">
            <v>191</v>
          </cell>
          <cell r="D878" t="str">
            <v>McKenzie_Anta'Veon_25</v>
          </cell>
        </row>
        <row r="879">
          <cell r="B879">
            <v>45832</v>
          </cell>
          <cell r="C879">
            <v>181.6</v>
          </cell>
          <cell r="D879" t="str">
            <v>Meadors_Grant_25</v>
          </cell>
        </row>
        <row r="880">
          <cell r="B880">
            <v>45832</v>
          </cell>
          <cell r="C880">
            <v>300.2</v>
          </cell>
          <cell r="D880" t="str">
            <v>Meek_Aidan_25</v>
          </cell>
        </row>
        <row r="881">
          <cell r="B881">
            <v>45832</v>
          </cell>
          <cell r="C881">
            <v>182.8</v>
          </cell>
          <cell r="D881" t="str">
            <v>Melanson_Mike_25</v>
          </cell>
        </row>
        <row r="882">
          <cell r="B882">
            <v>45832</v>
          </cell>
          <cell r="C882">
            <v>198.4</v>
          </cell>
          <cell r="D882" t="str">
            <v>Mitchell_Naytel_25</v>
          </cell>
        </row>
        <row r="883">
          <cell r="B883">
            <v>45832</v>
          </cell>
          <cell r="C883">
            <v>321.39999999999998</v>
          </cell>
          <cell r="D883" t="str">
            <v>Moore_Jaxon_25</v>
          </cell>
        </row>
        <row r="884">
          <cell r="B884">
            <v>45832</v>
          </cell>
          <cell r="C884">
            <v>209.6</v>
          </cell>
          <cell r="D884" t="str">
            <v>Moore_Oscar_25</v>
          </cell>
        </row>
        <row r="885">
          <cell r="B885">
            <v>45832</v>
          </cell>
          <cell r="C885">
            <v>174.6</v>
          </cell>
          <cell r="D885" t="str">
            <v>Mullican_Elias_25</v>
          </cell>
        </row>
        <row r="886">
          <cell r="B886">
            <v>45832</v>
          </cell>
          <cell r="C886">
            <v>191.8</v>
          </cell>
          <cell r="D886" t="str">
            <v>NA</v>
          </cell>
        </row>
        <row r="887">
          <cell r="B887">
            <v>45832</v>
          </cell>
          <cell r="C887">
            <v>231.6</v>
          </cell>
          <cell r="D887" t="str">
            <v>Nelson_Gavin_25</v>
          </cell>
        </row>
        <row r="888">
          <cell r="B888">
            <v>45832</v>
          </cell>
          <cell r="C888">
            <v>174</v>
          </cell>
          <cell r="D888" t="str">
            <v>Nickens_Tye_25</v>
          </cell>
        </row>
        <row r="889">
          <cell r="B889">
            <v>45832</v>
          </cell>
          <cell r="C889">
            <v>258.2</v>
          </cell>
          <cell r="D889" t="str">
            <v>Norris_Sammy_25</v>
          </cell>
        </row>
        <row r="890">
          <cell r="B890">
            <v>45832</v>
          </cell>
          <cell r="C890">
            <v>171.6</v>
          </cell>
          <cell r="D890" t="str">
            <v>Oliver_Jason_25</v>
          </cell>
        </row>
        <row r="891">
          <cell r="B891">
            <v>45832</v>
          </cell>
          <cell r="C891">
            <v>301.39999999999998</v>
          </cell>
          <cell r="D891" t="str">
            <v>Ortiz_Elijah_25</v>
          </cell>
        </row>
        <row r="892">
          <cell r="B892">
            <v>45832</v>
          </cell>
          <cell r="C892">
            <v>223.4</v>
          </cell>
          <cell r="D892" t="str">
            <v>Puloka_Fata_25</v>
          </cell>
        </row>
        <row r="893">
          <cell r="B893">
            <v>45832</v>
          </cell>
          <cell r="C893">
            <v>188.2</v>
          </cell>
          <cell r="D893" t="str">
            <v>Rashada_Jaden_25</v>
          </cell>
        </row>
        <row r="894">
          <cell r="B894">
            <v>45832</v>
          </cell>
          <cell r="C894">
            <v>230.2</v>
          </cell>
          <cell r="D894" t="str">
            <v>Red_Savion_25</v>
          </cell>
        </row>
        <row r="895">
          <cell r="B895">
            <v>45832</v>
          </cell>
          <cell r="C895">
            <v>184</v>
          </cell>
          <cell r="D895" t="str">
            <v>Reese_Caleb_25</v>
          </cell>
        </row>
        <row r="896">
          <cell r="B896">
            <v>45832</v>
          </cell>
          <cell r="C896">
            <v>320</v>
          </cell>
          <cell r="D896" t="str">
            <v>Riley_Kenndel_25</v>
          </cell>
        </row>
        <row r="897">
          <cell r="B897">
            <v>45832</v>
          </cell>
          <cell r="C897">
            <v>216.4</v>
          </cell>
          <cell r="D897" t="str">
            <v>Robinson_Dontae_25</v>
          </cell>
        </row>
        <row r="898">
          <cell r="B898">
            <v>45832</v>
          </cell>
          <cell r="C898">
            <v>174.6</v>
          </cell>
          <cell r="D898" t="str">
            <v>Robinson_Jayden_25</v>
          </cell>
        </row>
        <row r="899">
          <cell r="B899">
            <v>45832</v>
          </cell>
          <cell r="C899">
            <v>219.8</v>
          </cell>
          <cell r="D899" t="str">
            <v>Rocha_Alex_25</v>
          </cell>
        </row>
        <row r="900">
          <cell r="B900">
            <v>45832</v>
          </cell>
          <cell r="C900">
            <v>265</v>
          </cell>
          <cell r="D900" t="str">
            <v>Ross_Kris_25</v>
          </cell>
        </row>
        <row r="901">
          <cell r="B901">
            <v>45832</v>
          </cell>
          <cell r="C901">
            <v>267.60000000000002</v>
          </cell>
          <cell r="D901" t="str">
            <v>Slater_Luke_25</v>
          </cell>
        </row>
        <row r="902">
          <cell r="B902">
            <v>45832</v>
          </cell>
          <cell r="C902">
            <v>176.6</v>
          </cell>
          <cell r="D902" t="str">
            <v>Smith_Jaquail_25</v>
          </cell>
        </row>
        <row r="903">
          <cell r="B903">
            <v>45832</v>
          </cell>
          <cell r="C903">
            <v>187.8</v>
          </cell>
          <cell r="D903" t="str">
            <v>Smith_Onterrio_25</v>
          </cell>
        </row>
        <row r="904">
          <cell r="B904">
            <v>45832</v>
          </cell>
          <cell r="C904">
            <v>188.2</v>
          </cell>
          <cell r="D904" t="str">
            <v>Smith_Warren_25</v>
          </cell>
        </row>
        <row r="905">
          <cell r="B905">
            <v>45832</v>
          </cell>
          <cell r="C905">
            <v>187</v>
          </cell>
          <cell r="D905" t="str">
            <v>Solis_Jojo_25</v>
          </cell>
        </row>
        <row r="906">
          <cell r="B906">
            <v>45832</v>
          </cell>
          <cell r="C906">
            <v>306.2</v>
          </cell>
          <cell r="D906" t="str">
            <v>Soto_Jose_25</v>
          </cell>
        </row>
        <row r="907">
          <cell r="B907">
            <v>45832</v>
          </cell>
          <cell r="C907">
            <v>304.8</v>
          </cell>
          <cell r="D907" t="str">
            <v>Sousa_Brandon_25</v>
          </cell>
        </row>
        <row r="908">
          <cell r="B908">
            <v>45832</v>
          </cell>
          <cell r="C908">
            <v>277</v>
          </cell>
          <cell r="D908" t="str">
            <v>Speno_Joseph_25</v>
          </cell>
        </row>
        <row r="909">
          <cell r="B909">
            <v>45832</v>
          </cell>
          <cell r="C909">
            <v>346.2</v>
          </cell>
          <cell r="D909" t="str">
            <v>Stallworth_Jeremiah_25</v>
          </cell>
        </row>
        <row r="910">
          <cell r="B910">
            <v>45832</v>
          </cell>
          <cell r="C910">
            <v>315.8</v>
          </cell>
          <cell r="D910" t="str">
            <v>Summers_Bryson_25</v>
          </cell>
        </row>
        <row r="911">
          <cell r="B911">
            <v>45832</v>
          </cell>
          <cell r="C911">
            <v>294.60000000000002</v>
          </cell>
          <cell r="D911" t="str">
            <v>Swindle_Melvin_25</v>
          </cell>
        </row>
        <row r="912">
          <cell r="B912">
            <v>45832</v>
          </cell>
          <cell r="C912">
            <v>286.2</v>
          </cell>
          <cell r="D912" t="str">
            <v>Tagaloa_Brodie_25</v>
          </cell>
        </row>
        <row r="913">
          <cell r="B913">
            <v>45832</v>
          </cell>
          <cell r="C913">
            <v>229.2</v>
          </cell>
          <cell r="D913" t="str">
            <v>Tanner_Logan_25</v>
          </cell>
        </row>
        <row r="914">
          <cell r="B914">
            <v>45832</v>
          </cell>
          <cell r="C914">
            <v>162.4</v>
          </cell>
          <cell r="D914" t="str">
            <v>Taylor_Adam_25</v>
          </cell>
        </row>
        <row r="915">
          <cell r="B915">
            <v>45832</v>
          </cell>
          <cell r="C915">
            <v>189</v>
          </cell>
          <cell r="D915" t="str">
            <v>Taylor_Mike_25</v>
          </cell>
        </row>
        <row r="916">
          <cell r="B916">
            <v>45832</v>
          </cell>
          <cell r="C916">
            <v>189.2</v>
          </cell>
          <cell r="D916" t="str">
            <v>Thomson_Gavin_25</v>
          </cell>
        </row>
        <row r="917">
          <cell r="B917">
            <v>45832</v>
          </cell>
          <cell r="C917">
            <v>286.60000000000002</v>
          </cell>
          <cell r="D917" t="str">
            <v>Tullis_Malik_25</v>
          </cell>
        </row>
        <row r="918">
          <cell r="B918">
            <v>45832</v>
          </cell>
          <cell r="C918">
            <v>233.8</v>
          </cell>
          <cell r="D918" t="str">
            <v>Vi_Pita_25</v>
          </cell>
        </row>
        <row r="919">
          <cell r="B919">
            <v>45832</v>
          </cell>
          <cell r="C919">
            <v>179.8</v>
          </cell>
          <cell r="D919" t="str">
            <v>Williams_Cardell_25</v>
          </cell>
        </row>
        <row r="920">
          <cell r="B920">
            <v>45832</v>
          </cell>
          <cell r="C920">
            <v>192</v>
          </cell>
          <cell r="D920" t="str">
            <v>Williams_Jalen_25</v>
          </cell>
        </row>
        <row r="921">
          <cell r="B921">
            <v>45832</v>
          </cell>
          <cell r="C921">
            <v>221</v>
          </cell>
          <cell r="D921" t="str">
            <v>Williams_Jordan_25</v>
          </cell>
        </row>
        <row r="922">
          <cell r="B922">
            <v>45832</v>
          </cell>
          <cell r="C922">
            <v>247.2</v>
          </cell>
          <cell r="D922" t="str">
            <v>Williams_Xavier_25</v>
          </cell>
        </row>
        <row r="923">
          <cell r="B923">
            <v>45832</v>
          </cell>
          <cell r="C923">
            <v>215.6</v>
          </cell>
          <cell r="D923" t="str">
            <v>Wilson_Jace_25</v>
          </cell>
        </row>
        <row r="924">
          <cell r="B924">
            <v>45832</v>
          </cell>
          <cell r="C924">
            <v>203.8</v>
          </cell>
          <cell r="D924" t="str">
            <v>Wright_Deven_25</v>
          </cell>
        </row>
        <row r="925">
          <cell r="B925">
            <v>45831</v>
          </cell>
          <cell r="C925">
            <v>296.2</v>
          </cell>
          <cell r="D925" t="str">
            <v>Abdullah_Dean_25</v>
          </cell>
        </row>
        <row r="926">
          <cell r="B926">
            <v>45831</v>
          </cell>
          <cell r="C926">
            <v>221</v>
          </cell>
          <cell r="D926" t="str">
            <v>Adams_Sam_25</v>
          </cell>
        </row>
        <row r="927">
          <cell r="B927">
            <v>45831</v>
          </cell>
          <cell r="C927">
            <v>187.2</v>
          </cell>
          <cell r="D927" t="str">
            <v>Akui_Koa_25</v>
          </cell>
        </row>
        <row r="928">
          <cell r="B928">
            <v>45831</v>
          </cell>
          <cell r="C928">
            <v>266</v>
          </cell>
          <cell r="D928" t="str">
            <v>Ambuehl_Davis_25</v>
          </cell>
        </row>
        <row r="929">
          <cell r="B929">
            <v>45831</v>
          </cell>
          <cell r="C929">
            <v>201.8</v>
          </cell>
          <cell r="D929" t="str">
            <v>Anderson_Hayden_25</v>
          </cell>
        </row>
        <row r="930">
          <cell r="B930">
            <v>45831</v>
          </cell>
          <cell r="C930">
            <v>171.8</v>
          </cell>
          <cell r="D930" t="str">
            <v>Anderson_Jordan_25</v>
          </cell>
        </row>
        <row r="931">
          <cell r="B931">
            <v>45831</v>
          </cell>
          <cell r="C931">
            <v>286</v>
          </cell>
          <cell r="D931" t="str">
            <v>Bailey_Miles_25</v>
          </cell>
        </row>
        <row r="932">
          <cell r="B932">
            <v>45831</v>
          </cell>
          <cell r="C932">
            <v>190</v>
          </cell>
          <cell r="D932" t="str">
            <v>Bass_Trey_25</v>
          </cell>
        </row>
        <row r="933">
          <cell r="B933">
            <v>45831</v>
          </cell>
          <cell r="C933">
            <v>217.8</v>
          </cell>
          <cell r="D933" t="str">
            <v>Boeddeker_Hunter_25</v>
          </cell>
        </row>
        <row r="934">
          <cell r="B934">
            <v>45831</v>
          </cell>
          <cell r="C934">
            <v>199.4</v>
          </cell>
          <cell r="D934" t="str">
            <v>Borders_Curron_25</v>
          </cell>
        </row>
        <row r="935">
          <cell r="B935">
            <v>45831</v>
          </cell>
          <cell r="C935">
            <v>231.8</v>
          </cell>
          <cell r="D935" t="str">
            <v>Brown_Elias_25</v>
          </cell>
        </row>
        <row r="936">
          <cell r="B936">
            <v>45831</v>
          </cell>
          <cell r="C936">
            <v>163.4</v>
          </cell>
          <cell r="D936" t="str">
            <v>Bryant_Ajon_25</v>
          </cell>
        </row>
        <row r="937">
          <cell r="B937">
            <v>45831</v>
          </cell>
          <cell r="C937">
            <v>199.2</v>
          </cell>
          <cell r="D937" t="str">
            <v>Cahoon_Jackson_25</v>
          </cell>
        </row>
        <row r="938">
          <cell r="B938">
            <v>45831</v>
          </cell>
          <cell r="C938">
            <v>140.19999999999999</v>
          </cell>
          <cell r="D938" t="str">
            <v>Campbell_Ernest_25</v>
          </cell>
        </row>
        <row r="939">
          <cell r="B939">
            <v>45831</v>
          </cell>
          <cell r="C939">
            <v>234.8</v>
          </cell>
          <cell r="D939" t="str">
            <v>Cashiola_Josh_25</v>
          </cell>
        </row>
        <row r="940">
          <cell r="B940">
            <v>45831</v>
          </cell>
          <cell r="C940">
            <v>175.2</v>
          </cell>
          <cell r="D940" t="str">
            <v>Chouteau_Lono_25</v>
          </cell>
        </row>
        <row r="941">
          <cell r="B941">
            <v>45831</v>
          </cell>
          <cell r="C941">
            <v>161.6</v>
          </cell>
          <cell r="D941" t="str">
            <v>Conerly_Tim_25</v>
          </cell>
        </row>
        <row r="942">
          <cell r="B942">
            <v>45831</v>
          </cell>
          <cell r="C942">
            <v>172</v>
          </cell>
          <cell r="D942" t="str">
            <v>Curtis_Jamar_25</v>
          </cell>
        </row>
        <row r="943">
          <cell r="B943">
            <v>45831</v>
          </cell>
          <cell r="C943">
            <v>235.2</v>
          </cell>
          <cell r="D943" t="str">
            <v>Davis_Diego_25</v>
          </cell>
        </row>
        <row r="944">
          <cell r="B944">
            <v>45831</v>
          </cell>
          <cell r="C944">
            <v>196.8</v>
          </cell>
          <cell r="D944" t="str">
            <v>Emerson_Yebrell_25</v>
          </cell>
        </row>
        <row r="945">
          <cell r="B945">
            <v>45831</v>
          </cell>
          <cell r="C945">
            <v>228.6</v>
          </cell>
          <cell r="D945" t="str">
            <v>Eskridge_Matthew_25</v>
          </cell>
        </row>
        <row r="946">
          <cell r="B946">
            <v>45831</v>
          </cell>
          <cell r="C946">
            <v>172.4</v>
          </cell>
          <cell r="D946" t="str">
            <v>Fernandez_Tre_25</v>
          </cell>
        </row>
        <row r="947">
          <cell r="B947">
            <v>45831</v>
          </cell>
          <cell r="C947">
            <v>184</v>
          </cell>
          <cell r="D947" t="str">
            <v>Firebaugh_Joseph_25</v>
          </cell>
        </row>
        <row r="948">
          <cell r="B948">
            <v>45831</v>
          </cell>
          <cell r="C948">
            <v>167.8</v>
          </cell>
          <cell r="D948" t="str">
            <v>Fresques_Jaxon_25</v>
          </cell>
        </row>
        <row r="949">
          <cell r="B949">
            <v>45831</v>
          </cell>
          <cell r="C949">
            <v>190.8</v>
          </cell>
          <cell r="D949" t="str">
            <v>Garner_Drey_25</v>
          </cell>
        </row>
        <row r="950">
          <cell r="B950">
            <v>45831</v>
          </cell>
          <cell r="C950">
            <v>317.2</v>
          </cell>
          <cell r="D950" t="str">
            <v>Gillespie_James_25</v>
          </cell>
        </row>
        <row r="951">
          <cell r="B951">
            <v>45831</v>
          </cell>
          <cell r="C951">
            <v>221.4</v>
          </cell>
          <cell r="D951" t="str">
            <v>Gooden_Dylan_25</v>
          </cell>
        </row>
        <row r="952">
          <cell r="B952">
            <v>45831</v>
          </cell>
          <cell r="C952">
            <v>178</v>
          </cell>
          <cell r="D952" t="str">
            <v>Gordon_Diesel_25</v>
          </cell>
        </row>
        <row r="953">
          <cell r="B953">
            <v>45831</v>
          </cell>
          <cell r="C953">
            <v>297.39999999999998</v>
          </cell>
          <cell r="D953" t="str">
            <v>Gretlein_Cade_25</v>
          </cell>
        </row>
        <row r="954">
          <cell r="B954">
            <v>45831</v>
          </cell>
          <cell r="C954">
            <v>196.6</v>
          </cell>
          <cell r="D954" t="str">
            <v>Hammond_Rodney_25</v>
          </cell>
        </row>
        <row r="955">
          <cell r="B955">
            <v>45831</v>
          </cell>
          <cell r="C955">
            <v>241.6</v>
          </cell>
          <cell r="D955" t="str">
            <v>Hampsten_Dylan_25</v>
          </cell>
        </row>
        <row r="956">
          <cell r="B956">
            <v>45831</v>
          </cell>
          <cell r="C956">
            <v>294.8</v>
          </cell>
          <cell r="D956" t="str">
            <v>Hays_Sawyer_25</v>
          </cell>
        </row>
        <row r="957">
          <cell r="B957">
            <v>45831</v>
          </cell>
          <cell r="C957">
            <v>205.2</v>
          </cell>
          <cell r="D957" t="str">
            <v>Henderson_Damian_25</v>
          </cell>
        </row>
        <row r="958">
          <cell r="B958">
            <v>45831</v>
          </cell>
          <cell r="C958">
            <v>347.6</v>
          </cell>
          <cell r="D958" t="str">
            <v>Herman_Jordan_25</v>
          </cell>
        </row>
        <row r="959">
          <cell r="B959">
            <v>45831</v>
          </cell>
          <cell r="C959">
            <v>199</v>
          </cell>
          <cell r="D959" t="str">
            <v>Higgins_Kaleb_25</v>
          </cell>
        </row>
        <row r="960">
          <cell r="B960">
            <v>45831</v>
          </cell>
          <cell r="C960">
            <v>231.6</v>
          </cell>
          <cell r="D960" t="str">
            <v>Houston_Derek_25</v>
          </cell>
        </row>
        <row r="961">
          <cell r="B961">
            <v>45831</v>
          </cell>
          <cell r="C961">
            <v>211.8</v>
          </cell>
          <cell r="D961" t="str">
            <v>Huddle_Elijah_25</v>
          </cell>
        </row>
        <row r="962">
          <cell r="B962">
            <v>45831</v>
          </cell>
          <cell r="C962">
            <v>307.2</v>
          </cell>
          <cell r="D962" t="str">
            <v>Jefferson_Jordan_25</v>
          </cell>
        </row>
        <row r="963">
          <cell r="B963">
            <v>45831</v>
          </cell>
          <cell r="C963">
            <v>199.8</v>
          </cell>
          <cell r="D963" t="str">
            <v>Jefferson_KJ_25</v>
          </cell>
        </row>
        <row r="964">
          <cell r="B964">
            <v>45831</v>
          </cell>
          <cell r="C964">
            <v>186.8</v>
          </cell>
          <cell r="D964" t="str">
            <v>Johnson-Burrell_Lamont_25</v>
          </cell>
        </row>
        <row r="965">
          <cell r="B965">
            <v>45831</v>
          </cell>
          <cell r="C965">
            <v>209.8</v>
          </cell>
          <cell r="D965" t="str">
            <v>Johnston_Adam_25</v>
          </cell>
        </row>
        <row r="966">
          <cell r="B966">
            <v>45831</v>
          </cell>
          <cell r="C966">
            <v>225.6</v>
          </cell>
          <cell r="D966" t="str">
            <v>Jones_Jekob_25</v>
          </cell>
        </row>
        <row r="967">
          <cell r="B967">
            <v>45831</v>
          </cell>
          <cell r="C967">
            <v>330.6</v>
          </cell>
          <cell r="D967" t="str">
            <v>Kindle_Malachi_25</v>
          </cell>
        </row>
        <row r="968">
          <cell r="B968">
            <v>45831</v>
          </cell>
          <cell r="C968">
            <v>301.2</v>
          </cell>
          <cell r="D968" t="str">
            <v>Kovacs_Giovanni_25</v>
          </cell>
        </row>
        <row r="969">
          <cell r="B969">
            <v>45831</v>
          </cell>
          <cell r="C969">
            <v>163</v>
          </cell>
          <cell r="D969" t="str">
            <v>Lee_Ricky_25</v>
          </cell>
        </row>
        <row r="970">
          <cell r="B970">
            <v>45831</v>
          </cell>
          <cell r="C970">
            <v>208.4</v>
          </cell>
          <cell r="D970" t="str">
            <v>Malone_Jamar_25</v>
          </cell>
        </row>
        <row r="971">
          <cell r="B971">
            <v>45831</v>
          </cell>
          <cell r="C971">
            <v>343.4</v>
          </cell>
          <cell r="D971" t="str">
            <v>Massey_Syncere_25</v>
          </cell>
        </row>
        <row r="972">
          <cell r="B972">
            <v>45831</v>
          </cell>
          <cell r="C972">
            <v>330.2</v>
          </cell>
          <cell r="D972" t="str">
            <v>May_Davis_25</v>
          </cell>
        </row>
        <row r="973">
          <cell r="B973">
            <v>45831</v>
          </cell>
          <cell r="C973">
            <v>175.4</v>
          </cell>
          <cell r="D973" t="str">
            <v>McDaniel_Damien_25</v>
          </cell>
        </row>
        <row r="974">
          <cell r="B974">
            <v>45831</v>
          </cell>
          <cell r="C974">
            <v>184.4</v>
          </cell>
          <cell r="D974" t="str">
            <v>McDowell_Connor_25</v>
          </cell>
        </row>
        <row r="975">
          <cell r="B975">
            <v>45831</v>
          </cell>
          <cell r="C975">
            <v>281.2</v>
          </cell>
          <cell r="D975" t="str">
            <v>McGlothen_Jayland_25</v>
          </cell>
        </row>
        <row r="976">
          <cell r="B976">
            <v>45831</v>
          </cell>
          <cell r="C976">
            <v>197.6</v>
          </cell>
          <cell r="D976" t="str">
            <v>McGough_Cal_25</v>
          </cell>
        </row>
        <row r="977">
          <cell r="B977">
            <v>45831</v>
          </cell>
          <cell r="C977">
            <v>285.2</v>
          </cell>
          <cell r="D977" t="str">
            <v>McKay_Richard_25</v>
          </cell>
        </row>
        <row r="978">
          <cell r="B978">
            <v>45831</v>
          </cell>
          <cell r="C978">
            <v>192.2</v>
          </cell>
          <cell r="D978" t="str">
            <v>McKenzie_Anta'Veon_25</v>
          </cell>
        </row>
        <row r="979">
          <cell r="B979">
            <v>45831</v>
          </cell>
          <cell r="C979">
            <v>180</v>
          </cell>
          <cell r="D979" t="str">
            <v>Meadors_Grant_25</v>
          </cell>
        </row>
        <row r="980">
          <cell r="B980">
            <v>45831</v>
          </cell>
          <cell r="C980">
            <v>297.39999999999998</v>
          </cell>
          <cell r="D980" t="str">
            <v>Meek_Aidan_25</v>
          </cell>
        </row>
        <row r="981">
          <cell r="B981">
            <v>45831</v>
          </cell>
          <cell r="C981">
            <v>184.8</v>
          </cell>
          <cell r="D981" t="str">
            <v>Melanson_Mike_25</v>
          </cell>
        </row>
        <row r="982">
          <cell r="B982">
            <v>45831</v>
          </cell>
          <cell r="C982">
            <v>199</v>
          </cell>
          <cell r="D982" t="str">
            <v>Mitchell_Naytel_25</v>
          </cell>
        </row>
        <row r="983">
          <cell r="B983">
            <v>45831</v>
          </cell>
          <cell r="C983">
            <v>326.2</v>
          </cell>
          <cell r="D983" t="str">
            <v>Moore_Jaxon_25</v>
          </cell>
        </row>
        <row r="984">
          <cell r="B984">
            <v>45831</v>
          </cell>
          <cell r="C984">
            <v>214.4</v>
          </cell>
          <cell r="D984" t="str">
            <v>Moore_Oscar_25</v>
          </cell>
        </row>
        <row r="985">
          <cell r="B985">
            <v>45831</v>
          </cell>
          <cell r="C985">
            <v>173.4</v>
          </cell>
          <cell r="D985" t="str">
            <v>Mullican_Elias_25</v>
          </cell>
        </row>
        <row r="986">
          <cell r="B986">
            <v>45831</v>
          </cell>
          <cell r="C986">
            <v>191.8</v>
          </cell>
          <cell r="D986" t="str">
            <v>NA</v>
          </cell>
        </row>
        <row r="987">
          <cell r="B987">
            <v>45831</v>
          </cell>
          <cell r="C987">
            <v>232.4</v>
          </cell>
          <cell r="D987" t="str">
            <v>Nelson_Gavin_25</v>
          </cell>
        </row>
        <row r="988">
          <cell r="B988">
            <v>45831</v>
          </cell>
          <cell r="C988">
            <v>173</v>
          </cell>
          <cell r="D988" t="str">
            <v>Nickens_Tye_25</v>
          </cell>
        </row>
        <row r="989">
          <cell r="B989">
            <v>45831</v>
          </cell>
          <cell r="C989">
            <v>262</v>
          </cell>
          <cell r="D989" t="str">
            <v>Norris_Sammy_25</v>
          </cell>
        </row>
        <row r="990">
          <cell r="B990">
            <v>45831</v>
          </cell>
          <cell r="C990">
            <v>172.4</v>
          </cell>
          <cell r="D990" t="str">
            <v>Oliver_Jason_25</v>
          </cell>
        </row>
        <row r="991">
          <cell r="B991">
            <v>45831</v>
          </cell>
          <cell r="C991">
            <v>300.2</v>
          </cell>
          <cell r="D991" t="str">
            <v>Ortiz_Elijah_25</v>
          </cell>
        </row>
        <row r="992">
          <cell r="B992">
            <v>45831</v>
          </cell>
          <cell r="C992">
            <v>226.8</v>
          </cell>
          <cell r="D992" t="str">
            <v>Puloka_Fata_25</v>
          </cell>
        </row>
        <row r="993">
          <cell r="B993">
            <v>45831</v>
          </cell>
          <cell r="C993">
            <v>185</v>
          </cell>
          <cell r="D993" t="str">
            <v>Rashada_Jaden_25</v>
          </cell>
        </row>
        <row r="994">
          <cell r="B994">
            <v>45831</v>
          </cell>
          <cell r="C994">
            <v>229.8</v>
          </cell>
          <cell r="D994" t="str">
            <v>Red_Savion_25</v>
          </cell>
        </row>
        <row r="995">
          <cell r="B995">
            <v>45831</v>
          </cell>
          <cell r="C995">
            <v>186.2</v>
          </cell>
          <cell r="D995" t="str">
            <v>Reese_Caleb_25</v>
          </cell>
        </row>
        <row r="996">
          <cell r="B996">
            <v>45831</v>
          </cell>
          <cell r="C996">
            <v>319.60000000000002</v>
          </cell>
          <cell r="D996" t="str">
            <v>Riley_Kenndel_25</v>
          </cell>
        </row>
        <row r="997">
          <cell r="B997">
            <v>45831</v>
          </cell>
          <cell r="C997">
            <v>215.8</v>
          </cell>
          <cell r="D997" t="str">
            <v>Robinson_Dontae_25</v>
          </cell>
        </row>
        <row r="998">
          <cell r="B998">
            <v>45831</v>
          </cell>
          <cell r="C998">
            <v>178.4</v>
          </cell>
          <cell r="D998" t="str">
            <v>Robinson_Jayden_25</v>
          </cell>
        </row>
        <row r="999">
          <cell r="B999">
            <v>45831</v>
          </cell>
          <cell r="C999">
            <v>218.4</v>
          </cell>
          <cell r="D999" t="str">
            <v>Rocha_Alex_25</v>
          </cell>
        </row>
        <row r="1000">
          <cell r="B1000">
            <v>45831</v>
          </cell>
          <cell r="C1000">
            <v>260.39999999999998</v>
          </cell>
          <cell r="D1000" t="str">
            <v>Ross_Kris_25</v>
          </cell>
        </row>
        <row r="1001">
          <cell r="B1001">
            <v>45831</v>
          </cell>
          <cell r="C1001">
            <v>266</v>
          </cell>
          <cell r="D1001" t="str">
            <v>Slater_Luke_25</v>
          </cell>
        </row>
        <row r="1002">
          <cell r="B1002">
            <v>45831</v>
          </cell>
          <cell r="C1002">
            <v>177.8</v>
          </cell>
          <cell r="D1002" t="str">
            <v>Smith_Jaquail_25</v>
          </cell>
        </row>
        <row r="1003">
          <cell r="B1003">
            <v>45831</v>
          </cell>
          <cell r="C1003">
            <v>188.6</v>
          </cell>
          <cell r="D1003" t="str">
            <v>Smith_Onterrio_25</v>
          </cell>
        </row>
        <row r="1004">
          <cell r="B1004">
            <v>45831</v>
          </cell>
          <cell r="C1004">
            <v>190.2</v>
          </cell>
          <cell r="D1004" t="str">
            <v>Smith_Warren_25</v>
          </cell>
        </row>
        <row r="1005">
          <cell r="B1005">
            <v>45831</v>
          </cell>
          <cell r="C1005">
            <v>186.2</v>
          </cell>
          <cell r="D1005" t="str">
            <v>Solis_Jojo_25</v>
          </cell>
        </row>
        <row r="1006">
          <cell r="B1006">
            <v>45831</v>
          </cell>
          <cell r="C1006">
            <v>311</v>
          </cell>
          <cell r="D1006" t="str">
            <v>Soto_Jose_25</v>
          </cell>
        </row>
        <row r="1007">
          <cell r="B1007">
            <v>45831</v>
          </cell>
          <cell r="C1007">
            <v>304.2</v>
          </cell>
          <cell r="D1007" t="str">
            <v>Sousa_Brandon_25</v>
          </cell>
        </row>
        <row r="1008">
          <cell r="B1008">
            <v>45831</v>
          </cell>
          <cell r="C1008">
            <v>280.2</v>
          </cell>
          <cell r="D1008" t="str">
            <v>Speno_Joseph_25</v>
          </cell>
        </row>
        <row r="1009">
          <cell r="B1009">
            <v>45831</v>
          </cell>
          <cell r="C1009">
            <v>351.4</v>
          </cell>
          <cell r="D1009" t="str">
            <v>Stallworth_Jeremiah_25</v>
          </cell>
        </row>
        <row r="1010">
          <cell r="B1010">
            <v>45831</v>
          </cell>
          <cell r="C1010">
            <v>311.8</v>
          </cell>
          <cell r="D1010" t="str">
            <v>Summers_Bryson_25</v>
          </cell>
        </row>
        <row r="1011">
          <cell r="B1011">
            <v>45831</v>
          </cell>
          <cell r="C1011">
            <v>298.60000000000002</v>
          </cell>
          <cell r="D1011" t="str">
            <v>Swindle_Melvin_25</v>
          </cell>
        </row>
        <row r="1012">
          <cell r="B1012">
            <v>45831</v>
          </cell>
          <cell r="C1012">
            <v>287.39999999999998</v>
          </cell>
          <cell r="D1012" t="str">
            <v>Tagaloa_Brodie_25</v>
          </cell>
        </row>
        <row r="1013">
          <cell r="B1013">
            <v>45831</v>
          </cell>
          <cell r="C1013">
            <v>230.4</v>
          </cell>
          <cell r="D1013" t="str">
            <v>Tanner_Logan_25</v>
          </cell>
        </row>
        <row r="1014">
          <cell r="B1014">
            <v>45831</v>
          </cell>
          <cell r="C1014">
            <v>163</v>
          </cell>
          <cell r="D1014" t="str">
            <v>Taylor_Adam_25</v>
          </cell>
        </row>
        <row r="1015">
          <cell r="B1015">
            <v>45831</v>
          </cell>
          <cell r="C1015">
            <v>189.4</v>
          </cell>
          <cell r="D1015" t="str">
            <v>Taylor_Mike_25</v>
          </cell>
        </row>
        <row r="1016">
          <cell r="B1016">
            <v>45831</v>
          </cell>
          <cell r="C1016">
            <v>191.6</v>
          </cell>
          <cell r="D1016" t="str">
            <v>Thomson_Gavin_25</v>
          </cell>
        </row>
        <row r="1017">
          <cell r="B1017">
            <v>45831</v>
          </cell>
          <cell r="C1017">
            <v>289.2</v>
          </cell>
          <cell r="D1017" t="str">
            <v>Tullis_Malik_25</v>
          </cell>
        </row>
        <row r="1018">
          <cell r="B1018">
            <v>45831</v>
          </cell>
          <cell r="C1018">
            <v>233.4</v>
          </cell>
          <cell r="D1018" t="str">
            <v>Vi_Pita_25</v>
          </cell>
        </row>
        <row r="1019">
          <cell r="B1019">
            <v>45831</v>
          </cell>
          <cell r="C1019">
            <v>182.8</v>
          </cell>
          <cell r="D1019" t="str">
            <v>Williams_Cardell_25</v>
          </cell>
        </row>
        <row r="1020">
          <cell r="B1020">
            <v>45831</v>
          </cell>
          <cell r="C1020">
            <v>191</v>
          </cell>
          <cell r="D1020" t="str">
            <v>Williams_Jalen_25</v>
          </cell>
        </row>
        <row r="1021">
          <cell r="B1021">
            <v>45831</v>
          </cell>
          <cell r="C1021">
            <v>217.8</v>
          </cell>
          <cell r="D1021" t="str">
            <v>Williams_Jordan_25</v>
          </cell>
        </row>
        <row r="1022">
          <cell r="B1022">
            <v>45831</v>
          </cell>
          <cell r="C1022">
            <v>249.2</v>
          </cell>
          <cell r="D1022" t="str">
            <v>Williams_Xavier_25</v>
          </cell>
        </row>
        <row r="1023">
          <cell r="B1023">
            <v>45831</v>
          </cell>
          <cell r="C1023">
            <v>216.8</v>
          </cell>
          <cell r="D1023" t="str">
            <v>Wilson_Jace_25</v>
          </cell>
        </row>
        <row r="1024">
          <cell r="B1024">
            <v>45831</v>
          </cell>
          <cell r="C1024">
            <v>202.3</v>
          </cell>
          <cell r="D1024" t="str">
            <v>Wright_Deven_25</v>
          </cell>
        </row>
        <row r="1025">
          <cell r="B1025">
            <v>45828</v>
          </cell>
          <cell r="C1025">
            <v>294.2</v>
          </cell>
          <cell r="D1025" t="str">
            <v>Abdullah_Dean_25</v>
          </cell>
        </row>
        <row r="1026">
          <cell r="B1026">
            <v>45828</v>
          </cell>
          <cell r="C1026">
            <v>218.2</v>
          </cell>
          <cell r="D1026" t="str">
            <v>Adams_Sam_25</v>
          </cell>
        </row>
        <row r="1027">
          <cell r="B1027">
            <v>45828</v>
          </cell>
          <cell r="C1027">
            <v>188.2</v>
          </cell>
          <cell r="D1027" t="str">
            <v>Akui_Koa_25</v>
          </cell>
        </row>
        <row r="1028">
          <cell r="B1028">
            <v>45828</v>
          </cell>
          <cell r="C1028">
            <v>259.39999999999998</v>
          </cell>
          <cell r="D1028" t="str">
            <v>Ambuehl_Davis_25</v>
          </cell>
        </row>
        <row r="1029">
          <cell r="B1029">
            <v>45828</v>
          </cell>
          <cell r="C1029">
            <v>202.8</v>
          </cell>
          <cell r="D1029" t="str">
            <v>Anderson_Hayden_25</v>
          </cell>
        </row>
        <row r="1030">
          <cell r="B1030">
            <v>45828</v>
          </cell>
          <cell r="C1030">
            <v>176.4</v>
          </cell>
          <cell r="D1030" t="str">
            <v>Anderson_Jordan_25</v>
          </cell>
        </row>
        <row r="1031">
          <cell r="B1031">
            <v>45828</v>
          </cell>
          <cell r="C1031">
            <v>288.39999999999998</v>
          </cell>
          <cell r="D1031" t="str">
            <v>Bailey_Miles_25</v>
          </cell>
        </row>
        <row r="1032">
          <cell r="B1032">
            <v>45828</v>
          </cell>
          <cell r="C1032">
            <v>188.6</v>
          </cell>
          <cell r="D1032" t="str">
            <v>Bass_Trey_25</v>
          </cell>
        </row>
        <row r="1033">
          <cell r="B1033">
            <v>45828</v>
          </cell>
          <cell r="C1033">
            <v>217</v>
          </cell>
          <cell r="D1033" t="str">
            <v>Boeddeker_Hunter_25</v>
          </cell>
        </row>
        <row r="1034">
          <cell r="B1034">
            <v>45828</v>
          </cell>
          <cell r="C1034">
            <v>198.4</v>
          </cell>
          <cell r="D1034" t="str">
            <v>Borders_Curron_25</v>
          </cell>
        </row>
        <row r="1035">
          <cell r="B1035">
            <v>45828</v>
          </cell>
          <cell r="C1035">
            <v>233.4</v>
          </cell>
          <cell r="D1035" t="str">
            <v>Brown_Elias_25</v>
          </cell>
        </row>
        <row r="1036">
          <cell r="B1036">
            <v>45828</v>
          </cell>
          <cell r="C1036">
            <v>162.4</v>
          </cell>
          <cell r="D1036" t="str">
            <v>Bryant_Ajon_25</v>
          </cell>
        </row>
        <row r="1037">
          <cell r="B1037">
            <v>45828</v>
          </cell>
          <cell r="C1037">
            <v>141</v>
          </cell>
          <cell r="D1037" t="str">
            <v>Campbell_Ernest_25</v>
          </cell>
        </row>
        <row r="1038">
          <cell r="B1038">
            <v>45828</v>
          </cell>
          <cell r="C1038">
            <v>230.6</v>
          </cell>
          <cell r="D1038" t="str">
            <v>Cashiola_Josh_25</v>
          </cell>
        </row>
        <row r="1039">
          <cell r="B1039">
            <v>45828</v>
          </cell>
          <cell r="C1039">
            <v>181.6</v>
          </cell>
          <cell r="D1039" t="str">
            <v>Chouteau_Lono_25</v>
          </cell>
        </row>
        <row r="1040">
          <cell r="B1040">
            <v>45828</v>
          </cell>
          <cell r="C1040">
            <v>156.80000000000001</v>
          </cell>
          <cell r="D1040" t="str">
            <v>Conerly_Tim_25</v>
          </cell>
        </row>
        <row r="1041">
          <cell r="B1041">
            <v>45828</v>
          </cell>
          <cell r="C1041">
            <v>169</v>
          </cell>
          <cell r="D1041" t="str">
            <v>Curtis_Jamar_25</v>
          </cell>
        </row>
        <row r="1042">
          <cell r="B1042">
            <v>45828</v>
          </cell>
          <cell r="C1042">
            <v>237</v>
          </cell>
          <cell r="D1042" t="str">
            <v>Davis_Diego_25</v>
          </cell>
        </row>
        <row r="1043">
          <cell r="B1043">
            <v>45828</v>
          </cell>
          <cell r="C1043">
            <v>197.4</v>
          </cell>
          <cell r="D1043" t="str">
            <v>Emerson_Yebrell_25</v>
          </cell>
        </row>
        <row r="1044">
          <cell r="B1044">
            <v>45828</v>
          </cell>
          <cell r="C1044">
            <v>226.2</v>
          </cell>
          <cell r="D1044" t="str">
            <v>Eskridge_Matthew_25</v>
          </cell>
        </row>
        <row r="1045">
          <cell r="B1045">
            <v>45828</v>
          </cell>
          <cell r="C1045">
            <v>171.4</v>
          </cell>
          <cell r="D1045" t="str">
            <v>Fernandez_Tre_25</v>
          </cell>
        </row>
        <row r="1046">
          <cell r="B1046">
            <v>45828</v>
          </cell>
          <cell r="C1046">
            <v>185.8</v>
          </cell>
          <cell r="D1046" t="str">
            <v>Firebaugh_Joseph_25</v>
          </cell>
        </row>
        <row r="1047">
          <cell r="B1047">
            <v>45828</v>
          </cell>
          <cell r="C1047">
            <v>169.8</v>
          </cell>
          <cell r="D1047" t="str">
            <v>Fresques_Jaxon_25</v>
          </cell>
        </row>
        <row r="1048">
          <cell r="B1048">
            <v>45828</v>
          </cell>
          <cell r="C1048">
            <v>190.2</v>
          </cell>
          <cell r="D1048" t="str">
            <v>Garner_Drey_25</v>
          </cell>
        </row>
        <row r="1049">
          <cell r="B1049">
            <v>45828</v>
          </cell>
          <cell r="C1049">
            <v>315.2</v>
          </cell>
          <cell r="D1049" t="str">
            <v>Gillespie_James_25</v>
          </cell>
        </row>
        <row r="1050">
          <cell r="B1050">
            <v>45828</v>
          </cell>
          <cell r="C1050">
            <v>217.4</v>
          </cell>
          <cell r="D1050" t="str">
            <v>Gooden_Dylan_25</v>
          </cell>
        </row>
        <row r="1051">
          <cell r="B1051">
            <v>45828</v>
          </cell>
          <cell r="C1051">
            <v>176.8</v>
          </cell>
          <cell r="D1051" t="str">
            <v>Gordon_Diesel_25</v>
          </cell>
        </row>
        <row r="1052">
          <cell r="B1052">
            <v>45828</v>
          </cell>
          <cell r="C1052">
            <v>292.8</v>
          </cell>
          <cell r="D1052" t="str">
            <v>Gretlein_Cade_25</v>
          </cell>
        </row>
        <row r="1053">
          <cell r="B1053">
            <v>45828</v>
          </cell>
          <cell r="C1053">
            <v>193.4</v>
          </cell>
          <cell r="D1053" t="str">
            <v>Hammond_Rodney_25</v>
          </cell>
        </row>
        <row r="1054">
          <cell r="B1054">
            <v>45828</v>
          </cell>
          <cell r="C1054">
            <v>240</v>
          </cell>
          <cell r="D1054" t="str">
            <v>Hampsten_Dylan_25</v>
          </cell>
        </row>
        <row r="1055">
          <cell r="B1055">
            <v>45828</v>
          </cell>
          <cell r="C1055">
            <v>296.8</v>
          </cell>
          <cell r="D1055" t="str">
            <v>Hays_Sawyer_25</v>
          </cell>
        </row>
        <row r="1056">
          <cell r="B1056">
            <v>45828</v>
          </cell>
          <cell r="C1056">
            <v>206.8</v>
          </cell>
          <cell r="D1056" t="str">
            <v>Henderson_Damian_25</v>
          </cell>
        </row>
        <row r="1057">
          <cell r="B1057">
            <v>45828</v>
          </cell>
          <cell r="C1057">
            <v>346.4</v>
          </cell>
          <cell r="D1057" t="str">
            <v>Herman_Jordan_25</v>
          </cell>
        </row>
        <row r="1058">
          <cell r="B1058">
            <v>45828</v>
          </cell>
          <cell r="C1058">
            <v>195.4</v>
          </cell>
          <cell r="D1058" t="str">
            <v>Higgins_Kaleb_25</v>
          </cell>
        </row>
        <row r="1059">
          <cell r="B1059">
            <v>45828</v>
          </cell>
          <cell r="C1059">
            <v>231</v>
          </cell>
          <cell r="D1059" t="str">
            <v>Houston_Derek_25</v>
          </cell>
        </row>
        <row r="1060">
          <cell r="B1060">
            <v>45828</v>
          </cell>
          <cell r="C1060">
            <v>210</v>
          </cell>
          <cell r="D1060" t="str">
            <v>Huddle_Elijah_25</v>
          </cell>
        </row>
        <row r="1061">
          <cell r="B1061">
            <v>45828</v>
          </cell>
          <cell r="C1061">
            <v>307</v>
          </cell>
          <cell r="D1061" t="str">
            <v>Jefferson_Jordan_25</v>
          </cell>
        </row>
        <row r="1062">
          <cell r="B1062">
            <v>45828</v>
          </cell>
          <cell r="C1062">
            <v>197.4</v>
          </cell>
          <cell r="D1062" t="str">
            <v>Jefferson_KJ_25</v>
          </cell>
        </row>
        <row r="1063">
          <cell r="B1063">
            <v>45828</v>
          </cell>
          <cell r="C1063">
            <v>187.2</v>
          </cell>
          <cell r="D1063" t="str">
            <v>Johnson-Burrell_Lamont_25</v>
          </cell>
        </row>
        <row r="1064">
          <cell r="B1064">
            <v>45828</v>
          </cell>
          <cell r="C1064">
            <v>214.8</v>
          </cell>
          <cell r="D1064" t="str">
            <v>Johnston_Adam_25</v>
          </cell>
        </row>
        <row r="1065">
          <cell r="B1065">
            <v>45828</v>
          </cell>
          <cell r="C1065">
            <v>221.8</v>
          </cell>
          <cell r="D1065" t="str">
            <v>Jones_Jekob_25</v>
          </cell>
        </row>
        <row r="1066">
          <cell r="B1066">
            <v>45828</v>
          </cell>
          <cell r="C1066">
            <v>329.2</v>
          </cell>
          <cell r="D1066" t="str">
            <v>Kindle_Malachi_25</v>
          </cell>
        </row>
        <row r="1067">
          <cell r="B1067">
            <v>45828</v>
          </cell>
          <cell r="C1067">
            <v>300</v>
          </cell>
          <cell r="D1067" t="str">
            <v>Kovacs_Giovanni_25</v>
          </cell>
        </row>
        <row r="1068">
          <cell r="B1068">
            <v>45828</v>
          </cell>
          <cell r="C1068">
            <v>162.6</v>
          </cell>
          <cell r="D1068" t="str">
            <v>Lee_Ricky_25</v>
          </cell>
        </row>
        <row r="1069">
          <cell r="B1069">
            <v>45828</v>
          </cell>
          <cell r="C1069">
            <v>210</v>
          </cell>
          <cell r="D1069" t="str">
            <v>Malone_Jamar_25</v>
          </cell>
        </row>
        <row r="1070">
          <cell r="B1070">
            <v>45828</v>
          </cell>
          <cell r="C1070">
            <v>343.2</v>
          </cell>
          <cell r="D1070" t="str">
            <v>Massey_Syncere_25</v>
          </cell>
        </row>
        <row r="1071">
          <cell r="B1071">
            <v>45828</v>
          </cell>
          <cell r="C1071">
            <v>330.6</v>
          </cell>
          <cell r="D1071" t="str">
            <v>May_Davis_25</v>
          </cell>
        </row>
        <row r="1072">
          <cell r="B1072">
            <v>45828</v>
          </cell>
          <cell r="C1072">
            <v>174.4</v>
          </cell>
          <cell r="D1072" t="str">
            <v>McDaniel_Damien_25</v>
          </cell>
        </row>
        <row r="1073">
          <cell r="B1073">
            <v>45828</v>
          </cell>
          <cell r="C1073">
            <v>185</v>
          </cell>
          <cell r="D1073" t="str">
            <v>McDowell_Connor_25</v>
          </cell>
        </row>
        <row r="1074">
          <cell r="B1074">
            <v>45828</v>
          </cell>
          <cell r="C1074">
            <v>280.2</v>
          </cell>
          <cell r="D1074" t="str">
            <v>McGlothen_Jayland_25</v>
          </cell>
        </row>
        <row r="1075">
          <cell r="B1075">
            <v>45828</v>
          </cell>
          <cell r="C1075">
            <v>194.8</v>
          </cell>
          <cell r="D1075" t="str">
            <v>McGough_Cal_25</v>
          </cell>
        </row>
        <row r="1076">
          <cell r="B1076">
            <v>45828</v>
          </cell>
          <cell r="C1076">
            <v>285.60000000000002</v>
          </cell>
          <cell r="D1076" t="str">
            <v>McKay_Richard_25</v>
          </cell>
        </row>
        <row r="1077">
          <cell r="B1077">
            <v>45828</v>
          </cell>
          <cell r="C1077">
            <v>191.2</v>
          </cell>
          <cell r="D1077" t="str">
            <v>McKenzie_Anta'Veon_25</v>
          </cell>
        </row>
        <row r="1078">
          <cell r="B1078">
            <v>45828</v>
          </cell>
          <cell r="C1078">
            <v>181.4</v>
          </cell>
          <cell r="D1078" t="str">
            <v>Meadors_Grant_25</v>
          </cell>
        </row>
        <row r="1079">
          <cell r="B1079">
            <v>45828</v>
          </cell>
          <cell r="C1079">
            <v>296</v>
          </cell>
          <cell r="D1079" t="str">
            <v>Meek_Aidan_25</v>
          </cell>
        </row>
        <row r="1080">
          <cell r="B1080">
            <v>45828</v>
          </cell>
          <cell r="C1080">
            <v>184.8</v>
          </cell>
          <cell r="D1080" t="str">
            <v>Melanson_Mike_25</v>
          </cell>
        </row>
        <row r="1081">
          <cell r="B1081">
            <v>45828</v>
          </cell>
          <cell r="C1081">
            <v>202</v>
          </cell>
          <cell r="D1081" t="str">
            <v>Mitchell_Naytel_25</v>
          </cell>
        </row>
        <row r="1082">
          <cell r="B1082">
            <v>45828</v>
          </cell>
          <cell r="C1082">
            <v>321.60000000000002</v>
          </cell>
          <cell r="D1082" t="str">
            <v>Moore_Jaxon_25</v>
          </cell>
        </row>
        <row r="1083">
          <cell r="B1083">
            <v>45828</v>
          </cell>
          <cell r="C1083">
            <v>213.8</v>
          </cell>
          <cell r="D1083" t="str">
            <v>Moore_Oscar_25</v>
          </cell>
        </row>
        <row r="1084">
          <cell r="B1084">
            <v>45828</v>
          </cell>
          <cell r="C1084">
            <v>173.6</v>
          </cell>
          <cell r="D1084" t="str">
            <v>Mullican_Elias_25</v>
          </cell>
        </row>
        <row r="1085">
          <cell r="B1085">
            <v>45828</v>
          </cell>
          <cell r="C1085">
            <v>191</v>
          </cell>
          <cell r="D1085" t="str">
            <v>NA</v>
          </cell>
        </row>
        <row r="1086">
          <cell r="B1086">
            <v>45828</v>
          </cell>
          <cell r="C1086">
            <v>233.2</v>
          </cell>
          <cell r="D1086" t="str">
            <v>Nelson_Gavin_25</v>
          </cell>
        </row>
        <row r="1087">
          <cell r="B1087">
            <v>45828</v>
          </cell>
          <cell r="C1087">
            <v>175.8</v>
          </cell>
          <cell r="D1087" t="str">
            <v>Nickens_Tye_25</v>
          </cell>
        </row>
        <row r="1088">
          <cell r="B1088">
            <v>45828</v>
          </cell>
          <cell r="C1088">
            <v>261.60000000000002</v>
          </cell>
          <cell r="D1088" t="str">
            <v>Norris_Sammy_25</v>
          </cell>
        </row>
        <row r="1089">
          <cell r="B1089">
            <v>45828</v>
          </cell>
          <cell r="C1089">
            <v>168</v>
          </cell>
          <cell r="D1089" t="str">
            <v>Oliver_Jason_25</v>
          </cell>
        </row>
        <row r="1090">
          <cell r="B1090">
            <v>45828</v>
          </cell>
          <cell r="C1090">
            <v>303.8</v>
          </cell>
          <cell r="D1090" t="str">
            <v>Ortiz_Elijah_25</v>
          </cell>
        </row>
        <row r="1091">
          <cell r="B1091">
            <v>45828</v>
          </cell>
          <cell r="C1091">
            <v>224.4</v>
          </cell>
          <cell r="D1091" t="str">
            <v>Puloka_Fata_25</v>
          </cell>
        </row>
        <row r="1092">
          <cell r="B1092">
            <v>45828</v>
          </cell>
          <cell r="C1092">
            <v>185</v>
          </cell>
          <cell r="D1092" t="str">
            <v>Rashada_Jaden_25</v>
          </cell>
        </row>
        <row r="1093">
          <cell r="B1093">
            <v>45828</v>
          </cell>
          <cell r="C1093">
            <v>231.6</v>
          </cell>
          <cell r="D1093" t="str">
            <v>Red_Savion_25</v>
          </cell>
        </row>
        <row r="1094">
          <cell r="B1094">
            <v>45828</v>
          </cell>
          <cell r="C1094">
            <v>186</v>
          </cell>
          <cell r="D1094" t="str">
            <v>Reese_Caleb_25</v>
          </cell>
        </row>
        <row r="1095">
          <cell r="B1095">
            <v>45828</v>
          </cell>
          <cell r="C1095">
            <v>319.8</v>
          </cell>
          <cell r="D1095" t="str">
            <v>Riley_Kenndel_25</v>
          </cell>
        </row>
        <row r="1096">
          <cell r="B1096">
            <v>45828</v>
          </cell>
          <cell r="C1096">
            <v>219.2</v>
          </cell>
          <cell r="D1096" t="str">
            <v>Robinson_Dontae_25</v>
          </cell>
        </row>
        <row r="1097">
          <cell r="B1097">
            <v>45828</v>
          </cell>
          <cell r="C1097">
            <v>176.8</v>
          </cell>
          <cell r="D1097" t="str">
            <v>Robinson_Jayden_25</v>
          </cell>
        </row>
        <row r="1098">
          <cell r="B1098">
            <v>45828</v>
          </cell>
          <cell r="C1098">
            <v>216.8</v>
          </cell>
          <cell r="D1098" t="str">
            <v>Rocha_Alex_25</v>
          </cell>
        </row>
        <row r="1099">
          <cell r="B1099">
            <v>45828</v>
          </cell>
          <cell r="C1099">
            <v>261.2</v>
          </cell>
          <cell r="D1099" t="str">
            <v>Ross_Kris_25</v>
          </cell>
        </row>
        <row r="1100">
          <cell r="B1100">
            <v>45828</v>
          </cell>
          <cell r="C1100">
            <v>241.6</v>
          </cell>
          <cell r="D1100" t="str">
            <v>Scott_Brennon_25</v>
          </cell>
        </row>
        <row r="1101">
          <cell r="B1101">
            <v>45828</v>
          </cell>
          <cell r="C1101">
            <v>269.2</v>
          </cell>
          <cell r="D1101" t="str">
            <v>Slater_Luke_25</v>
          </cell>
        </row>
        <row r="1102">
          <cell r="B1102">
            <v>45828</v>
          </cell>
          <cell r="C1102">
            <v>174.2</v>
          </cell>
          <cell r="D1102" t="str">
            <v>Smith_Jaquail_25</v>
          </cell>
        </row>
        <row r="1103">
          <cell r="B1103">
            <v>45828</v>
          </cell>
          <cell r="C1103">
            <v>186.8</v>
          </cell>
          <cell r="D1103" t="str">
            <v>Smith_Onterrio_25</v>
          </cell>
        </row>
        <row r="1104">
          <cell r="B1104">
            <v>45828</v>
          </cell>
          <cell r="C1104">
            <v>188.6</v>
          </cell>
          <cell r="D1104" t="str">
            <v>Smith_Warren_25</v>
          </cell>
        </row>
        <row r="1105">
          <cell r="B1105">
            <v>45828</v>
          </cell>
          <cell r="C1105">
            <v>308.60000000000002</v>
          </cell>
          <cell r="D1105" t="str">
            <v>Soto_Jose_25</v>
          </cell>
        </row>
        <row r="1106">
          <cell r="B1106">
            <v>45828</v>
          </cell>
          <cell r="C1106">
            <v>304.8</v>
          </cell>
          <cell r="D1106" t="str">
            <v>Sousa_Brandon_25</v>
          </cell>
        </row>
        <row r="1107">
          <cell r="B1107">
            <v>45828</v>
          </cell>
          <cell r="C1107">
            <v>280.39999999999998</v>
          </cell>
          <cell r="D1107" t="str">
            <v>Speno_Joseph_25</v>
          </cell>
        </row>
        <row r="1108">
          <cell r="B1108">
            <v>45828</v>
          </cell>
          <cell r="C1108">
            <v>346</v>
          </cell>
          <cell r="D1108" t="str">
            <v>Stallworth_Jeremiah_25</v>
          </cell>
        </row>
        <row r="1109">
          <cell r="B1109">
            <v>45828</v>
          </cell>
          <cell r="C1109">
            <v>314.8</v>
          </cell>
          <cell r="D1109" t="str">
            <v>Summers_Bryson_25</v>
          </cell>
        </row>
        <row r="1110">
          <cell r="B1110">
            <v>45828</v>
          </cell>
          <cell r="C1110">
            <v>297</v>
          </cell>
          <cell r="D1110" t="str">
            <v>Swindle_Melvin_25</v>
          </cell>
        </row>
        <row r="1111">
          <cell r="B1111">
            <v>45828</v>
          </cell>
          <cell r="C1111">
            <v>287.2</v>
          </cell>
          <cell r="D1111" t="str">
            <v>Tagaloa_Brodie_25</v>
          </cell>
        </row>
        <row r="1112">
          <cell r="B1112">
            <v>45828</v>
          </cell>
          <cell r="C1112">
            <v>227</v>
          </cell>
          <cell r="D1112" t="str">
            <v>Tanner_Logan_25</v>
          </cell>
        </row>
        <row r="1113">
          <cell r="B1113">
            <v>45828</v>
          </cell>
          <cell r="C1113">
            <v>163.6</v>
          </cell>
          <cell r="D1113" t="str">
            <v>Taylor_Adam_25</v>
          </cell>
        </row>
        <row r="1114">
          <cell r="B1114">
            <v>45828</v>
          </cell>
          <cell r="C1114">
            <v>187.6</v>
          </cell>
          <cell r="D1114" t="str">
            <v>Taylor_Mike_25</v>
          </cell>
        </row>
        <row r="1115">
          <cell r="B1115">
            <v>45828</v>
          </cell>
          <cell r="C1115">
            <v>189.2</v>
          </cell>
          <cell r="D1115" t="str">
            <v>Thomson_Gavin_25</v>
          </cell>
        </row>
        <row r="1116">
          <cell r="B1116">
            <v>45828</v>
          </cell>
          <cell r="C1116">
            <v>285.60000000000002</v>
          </cell>
          <cell r="D1116" t="str">
            <v>Tullis_Malik_25</v>
          </cell>
        </row>
        <row r="1117">
          <cell r="B1117">
            <v>45828</v>
          </cell>
          <cell r="C1117">
            <v>236.8</v>
          </cell>
          <cell r="D1117" t="str">
            <v>Vi_Pita_25</v>
          </cell>
        </row>
        <row r="1118">
          <cell r="B1118">
            <v>45828</v>
          </cell>
          <cell r="C1118">
            <v>180.6</v>
          </cell>
          <cell r="D1118" t="str">
            <v>Williams_Cardell_25</v>
          </cell>
        </row>
        <row r="1119">
          <cell r="B1119">
            <v>45828</v>
          </cell>
          <cell r="C1119">
            <v>190.6</v>
          </cell>
          <cell r="D1119" t="str">
            <v>Williams_Jalen_25</v>
          </cell>
        </row>
        <row r="1120">
          <cell r="B1120">
            <v>45828</v>
          </cell>
          <cell r="C1120">
            <v>216</v>
          </cell>
          <cell r="D1120" t="str">
            <v>Williams_Jordan_25</v>
          </cell>
        </row>
        <row r="1121">
          <cell r="B1121">
            <v>45828</v>
          </cell>
          <cell r="C1121">
            <v>249</v>
          </cell>
          <cell r="D1121" t="str">
            <v>Williams_Xavier_25</v>
          </cell>
        </row>
        <row r="1122">
          <cell r="B1122">
            <v>45828</v>
          </cell>
          <cell r="C1122">
            <v>217</v>
          </cell>
          <cell r="D1122" t="str">
            <v>Wilson_Jace_25</v>
          </cell>
        </row>
        <row r="1123">
          <cell r="B1123">
            <v>45828</v>
          </cell>
          <cell r="C1123">
            <v>203</v>
          </cell>
          <cell r="D1123" t="str">
            <v>Wright_Deven_25</v>
          </cell>
        </row>
        <row r="1124">
          <cell r="B1124">
            <v>45827</v>
          </cell>
          <cell r="C1124">
            <v>296</v>
          </cell>
          <cell r="D1124" t="str">
            <v>Abdullah_Dean_25</v>
          </cell>
        </row>
        <row r="1125">
          <cell r="B1125">
            <v>45827</v>
          </cell>
          <cell r="C1125">
            <v>217.6</v>
          </cell>
          <cell r="D1125" t="str">
            <v>Adams_Sam_25</v>
          </cell>
        </row>
        <row r="1126">
          <cell r="B1126">
            <v>45827</v>
          </cell>
          <cell r="C1126">
            <v>188</v>
          </cell>
          <cell r="D1126" t="str">
            <v>Akui_Koa_25</v>
          </cell>
        </row>
        <row r="1127">
          <cell r="B1127">
            <v>45827</v>
          </cell>
          <cell r="C1127">
            <v>263.39999999999998</v>
          </cell>
          <cell r="D1127" t="str">
            <v>Ambuehl_Davis_25</v>
          </cell>
        </row>
        <row r="1128">
          <cell r="B1128">
            <v>45827</v>
          </cell>
          <cell r="C1128">
            <v>205.4</v>
          </cell>
          <cell r="D1128" t="str">
            <v>Anderson_Hayden_25</v>
          </cell>
        </row>
        <row r="1129">
          <cell r="B1129">
            <v>45827</v>
          </cell>
          <cell r="C1129">
            <v>174.2</v>
          </cell>
          <cell r="D1129" t="str">
            <v>Anderson_Jordan_25</v>
          </cell>
        </row>
        <row r="1130">
          <cell r="B1130">
            <v>45827</v>
          </cell>
          <cell r="C1130">
            <v>289.39999999999998</v>
          </cell>
          <cell r="D1130" t="str">
            <v>Bailey_Miles_25</v>
          </cell>
        </row>
        <row r="1131">
          <cell r="B1131">
            <v>45827</v>
          </cell>
          <cell r="C1131">
            <v>190</v>
          </cell>
          <cell r="D1131" t="str">
            <v>Bass_Trey_25</v>
          </cell>
        </row>
        <row r="1132">
          <cell r="B1132">
            <v>45827</v>
          </cell>
          <cell r="C1132">
            <v>217.6</v>
          </cell>
          <cell r="D1132" t="str">
            <v>Boeddeker_Hunter_25</v>
          </cell>
        </row>
        <row r="1133">
          <cell r="B1133">
            <v>45827</v>
          </cell>
          <cell r="C1133">
            <v>196.2</v>
          </cell>
          <cell r="D1133" t="str">
            <v>Borders_Curron_25</v>
          </cell>
        </row>
        <row r="1134">
          <cell r="B1134">
            <v>45827</v>
          </cell>
          <cell r="C1134">
            <v>231.6</v>
          </cell>
          <cell r="D1134" t="str">
            <v>Brown_Elias_25</v>
          </cell>
        </row>
        <row r="1135">
          <cell r="B1135">
            <v>45827</v>
          </cell>
          <cell r="C1135">
            <v>164.8</v>
          </cell>
          <cell r="D1135" t="str">
            <v>Bryant_Ajon_25</v>
          </cell>
        </row>
        <row r="1136">
          <cell r="B1136">
            <v>45827</v>
          </cell>
          <cell r="C1136">
            <v>138.4</v>
          </cell>
          <cell r="D1136" t="str">
            <v>Campbell_Ernest_25</v>
          </cell>
        </row>
        <row r="1137">
          <cell r="B1137">
            <v>45827</v>
          </cell>
          <cell r="C1137">
            <v>234.2</v>
          </cell>
          <cell r="D1137" t="str">
            <v>Cashiola_Josh_25</v>
          </cell>
        </row>
        <row r="1138">
          <cell r="B1138">
            <v>45827</v>
          </cell>
          <cell r="C1138">
            <v>178.4</v>
          </cell>
          <cell r="D1138" t="str">
            <v>Chouteau_Lono_25</v>
          </cell>
        </row>
        <row r="1139">
          <cell r="B1139">
            <v>45827</v>
          </cell>
          <cell r="C1139">
            <v>158.6</v>
          </cell>
          <cell r="D1139" t="str">
            <v>Conerly_Tim_25</v>
          </cell>
        </row>
        <row r="1140">
          <cell r="B1140">
            <v>45827</v>
          </cell>
          <cell r="C1140">
            <v>170.6</v>
          </cell>
          <cell r="D1140" t="str">
            <v>Curtis_Jamar_25</v>
          </cell>
        </row>
        <row r="1141">
          <cell r="B1141">
            <v>45827</v>
          </cell>
          <cell r="C1141">
            <v>235.6</v>
          </cell>
          <cell r="D1141" t="str">
            <v>Davis_Diego_25</v>
          </cell>
        </row>
        <row r="1142">
          <cell r="B1142">
            <v>45827</v>
          </cell>
          <cell r="C1142">
            <v>197</v>
          </cell>
          <cell r="D1142" t="str">
            <v>Emerson_Yebrell_25</v>
          </cell>
        </row>
        <row r="1143">
          <cell r="B1143">
            <v>45827</v>
          </cell>
          <cell r="C1143">
            <v>228.8</v>
          </cell>
          <cell r="D1143" t="str">
            <v>Eskridge_Matthew_25</v>
          </cell>
        </row>
        <row r="1144">
          <cell r="B1144">
            <v>45827</v>
          </cell>
          <cell r="C1144">
            <v>172.8</v>
          </cell>
          <cell r="D1144" t="str">
            <v>Fernandez_Tre_25</v>
          </cell>
        </row>
        <row r="1145">
          <cell r="B1145">
            <v>45827</v>
          </cell>
          <cell r="C1145">
            <v>183.8</v>
          </cell>
          <cell r="D1145" t="str">
            <v>Firebaugh_Joseph_25</v>
          </cell>
        </row>
        <row r="1146">
          <cell r="B1146">
            <v>45827</v>
          </cell>
          <cell r="C1146">
            <v>169</v>
          </cell>
          <cell r="D1146" t="str">
            <v>Fresques_Jaxon_25</v>
          </cell>
        </row>
        <row r="1147">
          <cell r="B1147">
            <v>45827</v>
          </cell>
          <cell r="C1147">
            <v>191.2</v>
          </cell>
          <cell r="D1147" t="str">
            <v>Garner_Drey_25</v>
          </cell>
        </row>
        <row r="1148">
          <cell r="B1148">
            <v>45827</v>
          </cell>
          <cell r="C1148">
            <v>317.8</v>
          </cell>
          <cell r="D1148" t="str">
            <v>Gillespie_James_25</v>
          </cell>
        </row>
        <row r="1149">
          <cell r="B1149">
            <v>45827</v>
          </cell>
          <cell r="C1149">
            <v>218.8</v>
          </cell>
          <cell r="D1149" t="str">
            <v>Gooden_Dylan_25</v>
          </cell>
        </row>
        <row r="1150">
          <cell r="B1150">
            <v>45827</v>
          </cell>
          <cell r="C1150">
            <v>175.8</v>
          </cell>
          <cell r="D1150" t="str">
            <v>Gordon_Diesel_25</v>
          </cell>
        </row>
        <row r="1151">
          <cell r="B1151">
            <v>45827</v>
          </cell>
          <cell r="C1151">
            <v>293.60000000000002</v>
          </cell>
          <cell r="D1151" t="str">
            <v>Gretlein_Cade_25</v>
          </cell>
        </row>
        <row r="1152">
          <cell r="B1152">
            <v>45827</v>
          </cell>
          <cell r="C1152">
            <v>193.8</v>
          </cell>
          <cell r="D1152" t="str">
            <v>Hammond_Rodney_25</v>
          </cell>
        </row>
        <row r="1153">
          <cell r="B1153">
            <v>45827</v>
          </cell>
          <cell r="C1153">
            <v>244</v>
          </cell>
          <cell r="D1153" t="str">
            <v>Hampsten_Dylan_25</v>
          </cell>
        </row>
        <row r="1154">
          <cell r="B1154">
            <v>45827</v>
          </cell>
          <cell r="C1154">
            <v>297</v>
          </cell>
          <cell r="D1154" t="str">
            <v>Hays_Sawyer_25</v>
          </cell>
        </row>
        <row r="1155">
          <cell r="B1155">
            <v>45827</v>
          </cell>
          <cell r="C1155">
            <v>207.8</v>
          </cell>
          <cell r="D1155" t="str">
            <v>Henderson_Damian_25</v>
          </cell>
        </row>
        <row r="1156">
          <cell r="B1156">
            <v>45827</v>
          </cell>
          <cell r="C1156">
            <v>344.9</v>
          </cell>
          <cell r="D1156" t="str">
            <v>Herman_Jordan_25</v>
          </cell>
        </row>
        <row r="1157">
          <cell r="B1157">
            <v>45827</v>
          </cell>
          <cell r="C1157">
            <v>195.6</v>
          </cell>
          <cell r="D1157" t="str">
            <v>Higgins_Kaleb_25</v>
          </cell>
        </row>
        <row r="1158">
          <cell r="B1158">
            <v>45827</v>
          </cell>
          <cell r="C1158">
            <v>230.4</v>
          </cell>
          <cell r="D1158" t="str">
            <v>Houston_Derek_25</v>
          </cell>
        </row>
        <row r="1159">
          <cell r="B1159">
            <v>45827</v>
          </cell>
          <cell r="C1159">
            <v>208.6</v>
          </cell>
          <cell r="D1159" t="str">
            <v>Huddle_Elijah_25</v>
          </cell>
        </row>
        <row r="1160">
          <cell r="B1160">
            <v>45827</v>
          </cell>
          <cell r="C1160">
            <v>307.39999999999998</v>
          </cell>
          <cell r="D1160" t="str">
            <v>Jefferson_Jordan_25</v>
          </cell>
        </row>
        <row r="1161">
          <cell r="B1161">
            <v>45827</v>
          </cell>
          <cell r="C1161">
            <v>199.6</v>
          </cell>
          <cell r="D1161" t="str">
            <v>Jefferson_KJ_25</v>
          </cell>
        </row>
        <row r="1162">
          <cell r="B1162">
            <v>45827</v>
          </cell>
          <cell r="C1162">
            <v>187</v>
          </cell>
          <cell r="D1162" t="str">
            <v>Johnson-Burrell_Lamont_25</v>
          </cell>
        </row>
        <row r="1163">
          <cell r="B1163">
            <v>45827</v>
          </cell>
          <cell r="C1163">
            <v>212</v>
          </cell>
          <cell r="D1163" t="str">
            <v>Johnston_Adam_25</v>
          </cell>
        </row>
        <row r="1164">
          <cell r="B1164">
            <v>45827</v>
          </cell>
          <cell r="C1164">
            <v>221</v>
          </cell>
          <cell r="D1164" t="str">
            <v>Jones_Jekob_25</v>
          </cell>
        </row>
        <row r="1165">
          <cell r="B1165">
            <v>45827</v>
          </cell>
          <cell r="C1165">
            <v>331.4</v>
          </cell>
          <cell r="D1165" t="str">
            <v>Kindle_Malachi_25</v>
          </cell>
        </row>
        <row r="1166">
          <cell r="B1166">
            <v>45827</v>
          </cell>
          <cell r="C1166">
            <v>301.60000000000002</v>
          </cell>
          <cell r="D1166" t="str">
            <v>Kovacs_Giovanni_25</v>
          </cell>
        </row>
        <row r="1167">
          <cell r="B1167">
            <v>45827</v>
          </cell>
          <cell r="C1167">
            <v>163.19999999999999</v>
          </cell>
          <cell r="D1167" t="str">
            <v>Lee_Ricky_25</v>
          </cell>
        </row>
        <row r="1168">
          <cell r="B1168">
            <v>45827</v>
          </cell>
          <cell r="C1168">
            <v>209.6</v>
          </cell>
          <cell r="D1168" t="str">
            <v>Malone_Jamar_25</v>
          </cell>
        </row>
        <row r="1169">
          <cell r="B1169">
            <v>45827</v>
          </cell>
          <cell r="C1169">
            <v>342.6</v>
          </cell>
          <cell r="D1169" t="str">
            <v>Massey_Syncere_25</v>
          </cell>
        </row>
        <row r="1170">
          <cell r="B1170">
            <v>45827</v>
          </cell>
          <cell r="C1170">
            <v>332.6</v>
          </cell>
          <cell r="D1170" t="str">
            <v>May_Davis_25</v>
          </cell>
        </row>
        <row r="1171">
          <cell r="B1171">
            <v>45827</v>
          </cell>
          <cell r="C1171">
            <v>174.6</v>
          </cell>
          <cell r="D1171" t="str">
            <v>McDaniel_Damien_25</v>
          </cell>
        </row>
        <row r="1172">
          <cell r="B1172">
            <v>45827</v>
          </cell>
          <cell r="C1172">
            <v>185.8</v>
          </cell>
          <cell r="D1172" t="str">
            <v>McDowell_Connor_25</v>
          </cell>
        </row>
        <row r="1173">
          <cell r="B1173">
            <v>45827</v>
          </cell>
          <cell r="C1173">
            <v>279.60000000000002</v>
          </cell>
          <cell r="D1173" t="str">
            <v>McGlothen_Jayland_25</v>
          </cell>
        </row>
        <row r="1174">
          <cell r="B1174">
            <v>45827</v>
          </cell>
          <cell r="C1174">
            <v>193.4</v>
          </cell>
          <cell r="D1174" t="str">
            <v>McGough_Cal_25</v>
          </cell>
        </row>
        <row r="1175">
          <cell r="B1175">
            <v>45827</v>
          </cell>
          <cell r="C1175">
            <v>288</v>
          </cell>
          <cell r="D1175" t="str">
            <v>McKay_Richard_25</v>
          </cell>
        </row>
        <row r="1176">
          <cell r="B1176">
            <v>45827</v>
          </cell>
          <cell r="C1176">
            <v>193.6</v>
          </cell>
          <cell r="D1176" t="str">
            <v>McKenzie_Anta'Veon_25</v>
          </cell>
        </row>
        <row r="1177">
          <cell r="B1177">
            <v>45827</v>
          </cell>
          <cell r="C1177">
            <v>182.6</v>
          </cell>
          <cell r="D1177" t="str">
            <v>Meadors_Grant_25</v>
          </cell>
        </row>
        <row r="1178">
          <cell r="B1178">
            <v>45827</v>
          </cell>
          <cell r="C1178">
            <v>300.2</v>
          </cell>
          <cell r="D1178" t="str">
            <v>Meek_Aidan_25</v>
          </cell>
        </row>
        <row r="1179">
          <cell r="B1179">
            <v>45827</v>
          </cell>
          <cell r="C1179">
            <v>185.6</v>
          </cell>
          <cell r="D1179" t="str">
            <v>Melanson_Mike_25</v>
          </cell>
        </row>
        <row r="1180">
          <cell r="B1180">
            <v>45827</v>
          </cell>
          <cell r="C1180">
            <v>200.2</v>
          </cell>
          <cell r="D1180" t="str">
            <v>Mitchell_Naytel_25</v>
          </cell>
        </row>
        <row r="1181">
          <cell r="B1181">
            <v>45827</v>
          </cell>
          <cell r="C1181">
            <v>324</v>
          </cell>
          <cell r="D1181" t="str">
            <v>Moore_Jaxon_25</v>
          </cell>
        </row>
        <row r="1182">
          <cell r="B1182">
            <v>45827</v>
          </cell>
          <cell r="C1182">
            <v>217.2</v>
          </cell>
          <cell r="D1182" t="str">
            <v>Moore_Oscar_25</v>
          </cell>
        </row>
        <row r="1183">
          <cell r="B1183">
            <v>45827</v>
          </cell>
          <cell r="C1183">
            <v>174.4</v>
          </cell>
          <cell r="D1183" t="str">
            <v>Mullican_Elias_25</v>
          </cell>
        </row>
        <row r="1184">
          <cell r="B1184">
            <v>45827</v>
          </cell>
          <cell r="C1184">
            <v>193.4</v>
          </cell>
          <cell r="D1184" t="str">
            <v>NA</v>
          </cell>
        </row>
        <row r="1185">
          <cell r="B1185">
            <v>45827</v>
          </cell>
          <cell r="C1185">
            <v>234</v>
          </cell>
          <cell r="D1185" t="str">
            <v>Nelson_Gavin_25</v>
          </cell>
        </row>
        <row r="1186">
          <cell r="B1186">
            <v>45827</v>
          </cell>
          <cell r="C1186">
            <v>262.39999999999998</v>
          </cell>
          <cell r="D1186" t="str">
            <v>Norris_Sammy_25</v>
          </cell>
        </row>
        <row r="1187">
          <cell r="B1187">
            <v>45827</v>
          </cell>
          <cell r="C1187">
            <v>171.6</v>
          </cell>
          <cell r="D1187" t="str">
            <v>Oliver_Jason_25</v>
          </cell>
        </row>
        <row r="1188">
          <cell r="B1188">
            <v>45827</v>
          </cell>
          <cell r="C1188">
            <v>304.39999999999998</v>
          </cell>
          <cell r="D1188" t="str">
            <v>Ortiz_Elijah_25</v>
          </cell>
        </row>
        <row r="1189">
          <cell r="B1189">
            <v>45827</v>
          </cell>
          <cell r="C1189">
            <v>225</v>
          </cell>
          <cell r="D1189" t="str">
            <v>Puloka_Fata_25</v>
          </cell>
        </row>
        <row r="1190">
          <cell r="B1190">
            <v>45827</v>
          </cell>
          <cell r="C1190">
            <v>184.6</v>
          </cell>
          <cell r="D1190" t="str">
            <v>Rashada_Jaden_25</v>
          </cell>
        </row>
        <row r="1191">
          <cell r="B1191">
            <v>45827</v>
          </cell>
          <cell r="C1191">
            <v>233.6</v>
          </cell>
          <cell r="D1191" t="str">
            <v>Red_Savion_25</v>
          </cell>
        </row>
        <row r="1192">
          <cell r="B1192">
            <v>45827</v>
          </cell>
          <cell r="C1192">
            <v>187</v>
          </cell>
          <cell r="D1192" t="str">
            <v>Reese_Caleb_25</v>
          </cell>
        </row>
        <row r="1193">
          <cell r="B1193">
            <v>45827</v>
          </cell>
          <cell r="C1193">
            <v>320</v>
          </cell>
          <cell r="D1193" t="str">
            <v>Riley_Kenndel_25</v>
          </cell>
        </row>
        <row r="1194">
          <cell r="B1194">
            <v>45827</v>
          </cell>
          <cell r="C1194">
            <v>216.4</v>
          </cell>
          <cell r="D1194" t="str">
            <v>Robinson_Dontae_25</v>
          </cell>
        </row>
        <row r="1195">
          <cell r="B1195">
            <v>45827</v>
          </cell>
          <cell r="C1195">
            <v>179.2</v>
          </cell>
          <cell r="D1195" t="str">
            <v>Robinson_Jayden_25</v>
          </cell>
        </row>
        <row r="1196">
          <cell r="B1196">
            <v>45827</v>
          </cell>
          <cell r="C1196">
            <v>218.8</v>
          </cell>
          <cell r="D1196" t="str">
            <v>Rocha_Alex_25</v>
          </cell>
        </row>
        <row r="1197">
          <cell r="B1197">
            <v>45827</v>
          </cell>
          <cell r="C1197">
            <v>265</v>
          </cell>
          <cell r="D1197" t="str">
            <v>Ross_Kris_25</v>
          </cell>
        </row>
        <row r="1198">
          <cell r="B1198">
            <v>45827</v>
          </cell>
          <cell r="C1198">
            <v>239.2</v>
          </cell>
          <cell r="D1198" t="str">
            <v>Scott_Brennon_25</v>
          </cell>
        </row>
        <row r="1199">
          <cell r="B1199">
            <v>45827</v>
          </cell>
          <cell r="C1199">
            <v>271</v>
          </cell>
          <cell r="D1199" t="str">
            <v>Slater_Luke_25</v>
          </cell>
        </row>
        <row r="1200">
          <cell r="B1200">
            <v>45827</v>
          </cell>
          <cell r="C1200">
            <v>172.6</v>
          </cell>
          <cell r="D1200" t="str">
            <v>Smith_Jaquail_25</v>
          </cell>
        </row>
        <row r="1201">
          <cell r="B1201">
            <v>45827</v>
          </cell>
          <cell r="C1201">
            <v>185</v>
          </cell>
          <cell r="D1201" t="str">
            <v>Smith_Onterrio_25</v>
          </cell>
        </row>
        <row r="1202">
          <cell r="B1202">
            <v>45827</v>
          </cell>
          <cell r="C1202">
            <v>189</v>
          </cell>
          <cell r="D1202" t="str">
            <v>Smith_Warren_25</v>
          </cell>
        </row>
        <row r="1203">
          <cell r="B1203">
            <v>45827</v>
          </cell>
          <cell r="C1203">
            <v>310</v>
          </cell>
          <cell r="D1203" t="str">
            <v>Soto_Jose_25</v>
          </cell>
        </row>
        <row r="1204">
          <cell r="B1204">
            <v>45827</v>
          </cell>
          <cell r="C1204">
            <v>303.60000000000002</v>
          </cell>
          <cell r="D1204" t="str">
            <v>Sousa_Brandon_25</v>
          </cell>
        </row>
        <row r="1205">
          <cell r="B1205">
            <v>45827</v>
          </cell>
          <cell r="C1205">
            <v>279.60000000000002</v>
          </cell>
          <cell r="D1205" t="str">
            <v>Speno_Joseph_25</v>
          </cell>
        </row>
        <row r="1206">
          <cell r="B1206">
            <v>45827</v>
          </cell>
          <cell r="C1206">
            <v>350.4</v>
          </cell>
          <cell r="D1206" t="str">
            <v>Stallworth_Jeremiah_25</v>
          </cell>
        </row>
        <row r="1207">
          <cell r="B1207">
            <v>45827</v>
          </cell>
          <cell r="C1207">
            <v>316.8</v>
          </cell>
          <cell r="D1207" t="str">
            <v>Summers_Bryson_25</v>
          </cell>
        </row>
        <row r="1208">
          <cell r="B1208">
            <v>45827</v>
          </cell>
          <cell r="C1208">
            <v>297.39999999999998</v>
          </cell>
          <cell r="D1208" t="str">
            <v>Swindle_Melvin_25</v>
          </cell>
        </row>
        <row r="1209">
          <cell r="B1209">
            <v>45827</v>
          </cell>
          <cell r="C1209">
            <v>288.2</v>
          </cell>
          <cell r="D1209" t="str">
            <v>Tagaloa_Brodie_25</v>
          </cell>
        </row>
        <row r="1210">
          <cell r="B1210">
            <v>45827</v>
          </cell>
          <cell r="C1210">
            <v>229.8</v>
          </cell>
          <cell r="D1210" t="str">
            <v>Tanner_Logan_25</v>
          </cell>
        </row>
        <row r="1211">
          <cell r="B1211">
            <v>45827</v>
          </cell>
          <cell r="C1211">
            <v>164.6</v>
          </cell>
          <cell r="D1211" t="str">
            <v>Taylor_Adam_25</v>
          </cell>
        </row>
        <row r="1212">
          <cell r="B1212">
            <v>45827</v>
          </cell>
          <cell r="C1212">
            <v>185.2</v>
          </cell>
          <cell r="D1212" t="str">
            <v>Taylor_Mike_25</v>
          </cell>
        </row>
        <row r="1213">
          <cell r="B1213">
            <v>45827</v>
          </cell>
          <cell r="C1213">
            <v>189.2</v>
          </cell>
          <cell r="D1213" t="str">
            <v>Thomson_Gavin_25</v>
          </cell>
        </row>
        <row r="1214">
          <cell r="B1214">
            <v>45827</v>
          </cell>
          <cell r="C1214">
            <v>289</v>
          </cell>
          <cell r="D1214" t="str">
            <v>Tullis_Malik_25</v>
          </cell>
        </row>
        <row r="1215">
          <cell r="B1215">
            <v>45827</v>
          </cell>
          <cell r="C1215">
            <v>238.6</v>
          </cell>
          <cell r="D1215" t="str">
            <v>Vi_Pita_25</v>
          </cell>
        </row>
        <row r="1216">
          <cell r="B1216">
            <v>45827</v>
          </cell>
          <cell r="C1216">
            <v>183</v>
          </cell>
          <cell r="D1216" t="str">
            <v>Williams_Cardell_25</v>
          </cell>
        </row>
        <row r="1217">
          <cell r="B1217">
            <v>45827</v>
          </cell>
          <cell r="C1217">
            <v>194.4</v>
          </cell>
          <cell r="D1217" t="str">
            <v>Williams_Jalen_25</v>
          </cell>
        </row>
        <row r="1218">
          <cell r="B1218">
            <v>45827</v>
          </cell>
          <cell r="C1218">
            <v>219</v>
          </cell>
          <cell r="D1218" t="str">
            <v>Williams_Jordan_25</v>
          </cell>
        </row>
        <row r="1219">
          <cell r="B1219">
            <v>45827</v>
          </cell>
          <cell r="C1219">
            <v>246.4</v>
          </cell>
          <cell r="D1219" t="str">
            <v>Williams_Xavier_25</v>
          </cell>
        </row>
        <row r="1220">
          <cell r="B1220">
            <v>45827</v>
          </cell>
          <cell r="C1220">
            <v>218.8</v>
          </cell>
          <cell r="D1220" t="str">
            <v>Wilson_Jace_25</v>
          </cell>
        </row>
        <row r="1221">
          <cell r="B1221">
            <v>45827</v>
          </cell>
          <cell r="C1221">
            <v>202.8</v>
          </cell>
          <cell r="D1221" t="str">
            <v>Wright_Deven_25</v>
          </cell>
        </row>
        <row r="1222">
          <cell r="B1222">
            <v>45826</v>
          </cell>
          <cell r="C1222">
            <v>215.68799999999999</v>
          </cell>
          <cell r="D1222" t="str">
            <v>Boeddeker_Hunter_25</v>
          </cell>
        </row>
        <row r="1223">
          <cell r="B1223">
            <v>45826</v>
          </cell>
          <cell r="C1223">
            <v>189.97</v>
          </cell>
          <cell r="D1223" t="str">
            <v>McKenzie_Anta'Veon_25</v>
          </cell>
        </row>
        <row r="1224">
          <cell r="B1224">
            <v>45826</v>
          </cell>
          <cell r="C1224">
            <v>224.708</v>
          </cell>
          <cell r="D1224" t="str">
            <v>Puloka_Fata_25</v>
          </cell>
        </row>
        <row r="1225">
          <cell r="B1225">
            <v>45826</v>
          </cell>
          <cell r="C1225">
            <v>216.50200000000001</v>
          </cell>
          <cell r="D1225" t="str">
            <v>Rocha_Alex_25</v>
          </cell>
        </row>
        <row r="1226">
          <cell r="B1226">
            <v>45826</v>
          </cell>
          <cell r="C1226">
            <v>245.80600000000001</v>
          </cell>
          <cell r="D1226" t="str">
            <v>Williams_Xavier_25</v>
          </cell>
        </row>
        <row r="1227">
          <cell r="B1227">
            <v>45825</v>
          </cell>
          <cell r="C1227">
            <v>295.39999999999998</v>
          </cell>
          <cell r="D1227" t="str">
            <v>Abdullah_Dean_25</v>
          </cell>
        </row>
        <row r="1228">
          <cell r="B1228">
            <v>45825</v>
          </cell>
          <cell r="C1228">
            <v>224.2</v>
          </cell>
          <cell r="D1228" t="str">
            <v>Adams_Sam_25</v>
          </cell>
        </row>
        <row r="1229">
          <cell r="B1229">
            <v>45825</v>
          </cell>
          <cell r="C1229">
            <v>188.4</v>
          </cell>
          <cell r="D1229" t="str">
            <v>Akui_Koa_25</v>
          </cell>
        </row>
        <row r="1230">
          <cell r="B1230">
            <v>45825</v>
          </cell>
          <cell r="C1230">
            <v>260</v>
          </cell>
          <cell r="D1230" t="str">
            <v>Ambuehl_Davis_25</v>
          </cell>
        </row>
        <row r="1231">
          <cell r="B1231">
            <v>45825</v>
          </cell>
          <cell r="C1231">
            <v>203.8</v>
          </cell>
          <cell r="D1231" t="str">
            <v>Anderson_Hayden_25</v>
          </cell>
        </row>
        <row r="1232">
          <cell r="B1232">
            <v>45825</v>
          </cell>
          <cell r="C1232">
            <v>172.4</v>
          </cell>
          <cell r="D1232" t="str">
            <v>Anderson_Jordan_25</v>
          </cell>
        </row>
        <row r="1233">
          <cell r="B1233">
            <v>45825</v>
          </cell>
          <cell r="C1233">
            <v>286.39999999999998</v>
          </cell>
          <cell r="D1233" t="str">
            <v>Bailey_Miles_25</v>
          </cell>
        </row>
        <row r="1234">
          <cell r="B1234">
            <v>45825</v>
          </cell>
          <cell r="C1234">
            <v>192.8</v>
          </cell>
          <cell r="D1234" t="str">
            <v>Bass_Trey_25</v>
          </cell>
        </row>
        <row r="1235">
          <cell r="B1235">
            <v>45825</v>
          </cell>
          <cell r="C1235">
            <v>217.8</v>
          </cell>
          <cell r="D1235" t="str">
            <v>Boeddeker_Hunter_25</v>
          </cell>
        </row>
        <row r="1236">
          <cell r="B1236">
            <v>45825</v>
          </cell>
          <cell r="C1236">
            <v>197.2</v>
          </cell>
          <cell r="D1236" t="str">
            <v>Borders_Curron_25</v>
          </cell>
        </row>
        <row r="1237">
          <cell r="B1237">
            <v>45825</v>
          </cell>
          <cell r="C1237">
            <v>234</v>
          </cell>
          <cell r="D1237" t="str">
            <v>Brown_Elias_25</v>
          </cell>
        </row>
        <row r="1238">
          <cell r="B1238">
            <v>45825</v>
          </cell>
          <cell r="C1238">
            <v>161.6</v>
          </cell>
          <cell r="D1238" t="str">
            <v>Bryant_Ajon_25</v>
          </cell>
        </row>
        <row r="1239">
          <cell r="B1239">
            <v>45825</v>
          </cell>
          <cell r="C1239">
            <v>233.6</v>
          </cell>
          <cell r="D1239" t="str">
            <v>Cashiola_Josh_25</v>
          </cell>
        </row>
        <row r="1240">
          <cell r="B1240">
            <v>45825</v>
          </cell>
          <cell r="C1240">
            <v>178</v>
          </cell>
          <cell r="D1240" t="str">
            <v>Chouteau_Lono_25</v>
          </cell>
        </row>
        <row r="1241">
          <cell r="B1241">
            <v>45825</v>
          </cell>
          <cell r="C1241">
            <v>156.6</v>
          </cell>
          <cell r="D1241" t="str">
            <v>Conerly_Tim_25</v>
          </cell>
        </row>
        <row r="1242">
          <cell r="B1242">
            <v>45825</v>
          </cell>
          <cell r="C1242">
            <v>169</v>
          </cell>
          <cell r="D1242" t="str">
            <v>Curtis_Jamar_25</v>
          </cell>
        </row>
        <row r="1243">
          <cell r="B1243">
            <v>45825</v>
          </cell>
          <cell r="C1243">
            <v>236.4</v>
          </cell>
          <cell r="D1243" t="str">
            <v>Davis_Diego_25</v>
          </cell>
        </row>
        <row r="1244">
          <cell r="B1244">
            <v>45825</v>
          </cell>
          <cell r="C1244">
            <v>195.6</v>
          </cell>
          <cell r="D1244" t="str">
            <v>Emerson_Yebrell_25</v>
          </cell>
        </row>
        <row r="1245">
          <cell r="B1245">
            <v>45825</v>
          </cell>
          <cell r="C1245">
            <v>228.4</v>
          </cell>
          <cell r="D1245" t="str">
            <v>Eskridge_Matthew_25</v>
          </cell>
        </row>
        <row r="1246">
          <cell r="B1246">
            <v>45825</v>
          </cell>
          <cell r="C1246">
            <v>172.4</v>
          </cell>
          <cell r="D1246" t="str">
            <v>Fernandez_Tre_25</v>
          </cell>
        </row>
        <row r="1247">
          <cell r="B1247">
            <v>45825</v>
          </cell>
          <cell r="C1247">
            <v>184.2</v>
          </cell>
          <cell r="D1247" t="str">
            <v>Firebaugh_Joseph_25</v>
          </cell>
        </row>
        <row r="1248">
          <cell r="B1248">
            <v>45825</v>
          </cell>
          <cell r="C1248">
            <v>168.8</v>
          </cell>
          <cell r="D1248" t="str">
            <v>Fresques_Jaxon_25</v>
          </cell>
        </row>
        <row r="1249">
          <cell r="B1249">
            <v>45825</v>
          </cell>
          <cell r="C1249">
            <v>192.8</v>
          </cell>
          <cell r="D1249" t="str">
            <v>Garner_Drey_25</v>
          </cell>
        </row>
        <row r="1250">
          <cell r="B1250">
            <v>45825</v>
          </cell>
          <cell r="C1250">
            <v>317.8</v>
          </cell>
          <cell r="D1250" t="str">
            <v>Gillespie_James_25</v>
          </cell>
        </row>
        <row r="1251">
          <cell r="B1251">
            <v>45825</v>
          </cell>
          <cell r="C1251">
            <v>219.8</v>
          </cell>
          <cell r="D1251" t="str">
            <v>Gooden_Dylan_25</v>
          </cell>
        </row>
        <row r="1252">
          <cell r="B1252">
            <v>45825</v>
          </cell>
          <cell r="C1252">
            <v>174.6</v>
          </cell>
          <cell r="D1252" t="str">
            <v>Gordon_Diesel_25</v>
          </cell>
        </row>
        <row r="1253">
          <cell r="B1253">
            <v>45825</v>
          </cell>
          <cell r="C1253">
            <v>293.8</v>
          </cell>
          <cell r="D1253" t="str">
            <v>Gretlein_Cade_25</v>
          </cell>
        </row>
        <row r="1254">
          <cell r="B1254">
            <v>45825</v>
          </cell>
          <cell r="C1254">
            <v>194.8</v>
          </cell>
          <cell r="D1254" t="str">
            <v>Hammond_Rodney_25</v>
          </cell>
        </row>
        <row r="1255">
          <cell r="B1255">
            <v>45825</v>
          </cell>
          <cell r="C1255">
            <v>244.8</v>
          </cell>
          <cell r="D1255" t="str">
            <v>Hampsten_Dylan_25</v>
          </cell>
        </row>
        <row r="1256">
          <cell r="B1256">
            <v>45825</v>
          </cell>
          <cell r="C1256">
            <v>294.8</v>
          </cell>
          <cell r="D1256" t="str">
            <v>Hays_Sawyer_25</v>
          </cell>
        </row>
        <row r="1257">
          <cell r="B1257">
            <v>45825</v>
          </cell>
          <cell r="C1257">
            <v>210.2</v>
          </cell>
          <cell r="D1257" t="str">
            <v>Henderson_Damian_25</v>
          </cell>
        </row>
        <row r="1258">
          <cell r="B1258">
            <v>45825</v>
          </cell>
          <cell r="C1258">
            <v>346.2</v>
          </cell>
          <cell r="D1258" t="str">
            <v>Herman_Jordan_25</v>
          </cell>
        </row>
        <row r="1259">
          <cell r="B1259">
            <v>45825</v>
          </cell>
          <cell r="C1259">
            <v>192.6</v>
          </cell>
          <cell r="D1259" t="str">
            <v>Higgins_Kaleb_25</v>
          </cell>
        </row>
        <row r="1260">
          <cell r="B1260">
            <v>45825</v>
          </cell>
          <cell r="C1260">
            <v>231</v>
          </cell>
          <cell r="D1260" t="str">
            <v>Houston_Derek_25</v>
          </cell>
        </row>
        <row r="1261">
          <cell r="B1261">
            <v>45825</v>
          </cell>
          <cell r="C1261">
            <v>209.4</v>
          </cell>
          <cell r="D1261" t="str">
            <v>Huddle_Elijah_25</v>
          </cell>
        </row>
        <row r="1262">
          <cell r="B1262">
            <v>45825</v>
          </cell>
          <cell r="C1262">
            <v>308.2</v>
          </cell>
          <cell r="D1262" t="str">
            <v>Jefferson_Jordan_25</v>
          </cell>
        </row>
        <row r="1263">
          <cell r="B1263">
            <v>45825</v>
          </cell>
          <cell r="C1263">
            <v>201.4</v>
          </cell>
          <cell r="D1263" t="str">
            <v>Jefferson_KJ_25</v>
          </cell>
        </row>
        <row r="1264">
          <cell r="B1264">
            <v>45825</v>
          </cell>
          <cell r="C1264">
            <v>186.4</v>
          </cell>
          <cell r="D1264" t="str">
            <v>Johnson-Burrell_Lamont_25</v>
          </cell>
        </row>
        <row r="1265">
          <cell r="B1265">
            <v>45825</v>
          </cell>
          <cell r="C1265">
            <v>214.6</v>
          </cell>
          <cell r="D1265" t="str">
            <v>Johnston_Adam_25</v>
          </cell>
        </row>
        <row r="1266">
          <cell r="B1266">
            <v>45825</v>
          </cell>
          <cell r="C1266">
            <v>221.6</v>
          </cell>
          <cell r="D1266" t="str">
            <v>Jones_Jekob_25</v>
          </cell>
        </row>
        <row r="1267">
          <cell r="B1267">
            <v>45825</v>
          </cell>
          <cell r="C1267">
            <v>330.2</v>
          </cell>
          <cell r="D1267" t="str">
            <v>Kindle_Malachi_25</v>
          </cell>
        </row>
        <row r="1268">
          <cell r="B1268">
            <v>45825</v>
          </cell>
          <cell r="C1268">
            <v>300</v>
          </cell>
          <cell r="D1268" t="str">
            <v>Kovacs_Giovanni_25</v>
          </cell>
        </row>
        <row r="1269">
          <cell r="B1269">
            <v>45825</v>
          </cell>
          <cell r="C1269">
            <v>161.80000000000001</v>
          </cell>
          <cell r="D1269" t="str">
            <v>Lee_Ricky_25</v>
          </cell>
        </row>
        <row r="1270">
          <cell r="B1270">
            <v>45825</v>
          </cell>
          <cell r="C1270">
            <v>211.4</v>
          </cell>
          <cell r="D1270" t="str">
            <v>Malone_Jamar_25</v>
          </cell>
        </row>
        <row r="1271">
          <cell r="B1271">
            <v>45825</v>
          </cell>
          <cell r="C1271">
            <v>342.2</v>
          </cell>
          <cell r="D1271" t="str">
            <v>Massey_Syncere_25</v>
          </cell>
        </row>
        <row r="1272">
          <cell r="B1272">
            <v>45825</v>
          </cell>
          <cell r="C1272">
            <v>329.8</v>
          </cell>
          <cell r="D1272" t="str">
            <v>May_Davis_25</v>
          </cell>
        </row>
        <row r="1273">
          <cell r="B1273">
            <v>45825</v>
          </cell>
          <cell r="C1273">
            <v>174.8</v>
          </cell>
          <cell r="D1273" t="str">
            <v>McDaniel_Damien_25</v>
          </cell>
        </row>
        <row r="1274">
          <cell r="B1274">
            <v>45825</v>
          </cell>
          <cell r="C1274">
            <v>185.8</v>
          </cell>
          <cell r="D1274" t="str">
            <v>McDowell_Connor_25</v>
          </cell>
        </row>
        <row r="1275">
          <cell r="B1275">
            <v>45825</v>
          </cell>
          <cell r="C1275">
            <v>282.2</v>
          </cell>
          <cell r="D1275" t="str">
            <v>McGlothen_Jayland_25</v>
          </cell>
        </row>
        <row r="1276">
          <cell r="B1276">
            <v>45825</v>
          </cell>
          <cell r="C1276">
            <v>196.8</v>
          </cell>
          <cell r="D1276" t="str">
            <v>McGough_Cal_25</v>
          </cell>
        </row>
        <row r="1277">
          <cell r="B1277">
            <v>45825</v>
          </cell>
          <cell r="C1277">
            <v>286.60000000000002</v>
          </cell>
          <cell r="D1277" t="str">
            <v>McKay_Richard_25</v>
          </cell>
        </row>
        <row r="1278">
          <cell r="B1278">
            <v>45825</v>
          </cell>
          <cell r="C1278">
            <v>192.6</v>
          </cell>
          <cell r="D1278" t="str">
            <v>McKenzie_Anta'Veon_25</v>
          </cell>
        </row>
        <row r="1279">
          <cell r="B1279">
            <v>45825</v>
          </cell>
          <cell r="C1279">
            <v>181.4</v>
          </cell>
          <cell r="D1279" t="str">
            <v>Meadors_Grant_25</v>
          </cell>
        </row>
        <row r="1280">
          <cell r="B1280">
            <v>45825</v>
          </cell>
          <cell r="C1280">
            <v>300</v>
          </cell>
          <cell r="D1280" t="str">
            <v>Meek_Aidan_25</v>
          </cell>
        </row>
        <row r="1281">
          <cell r="B1281">
            <v>45825</v>
          </cell>
          <cell r="C1281">
            <v>185.2</v>
          </cell>
          <cell r="D1281" t="str">
            <v>Melanson_Mike_25</v>
          </cell>
        </row>
        <row r="1282">
          <cell r="B1282">
            <v>45825</v>
          </cell>
          <cell r="C1282">
            <v>202.6</v>
          </cell>
          <cell r="D1282" t="str">
            <v>Mitchell_Naytel_25</v>
          </cell>
        </row>
        <row r="1283">
          <cell r="B1283">
            <v>45825</v>
          </cell>
          <cell r="C1283">
            <v>329</v>
          </cell>
          <cell r="D1283" t="str">
            <v>Moore_Jaxon_25</v>
          </cell>
        </row>
        <row r="1284">
          <cell r="B1284">
            <v>45825</v>
          </cell>
          <cell r="C1284">
            <v>216</v>
          </cell>
          <cell r="D1284" t="str">
            <v>Moore_Oscar_25</v>
          </cell>
        </row>
        <row r="1285">
          <cell r="B1285">
            <v>45825</v>
          </cell>
          <cell r="C1285">
            <v>175.8</v>
          </cell>
          <cell r="D1285" t="str">
            <v>Mullican_Elias_25</v>
          </cell>
        </row>
        <row r="1286">
          <cell r="B1286">
            <v>45825</v>
          </cell>
          <cell r="C1286">
            <v>195</v>
          </cell>
          <cell r="D1286" t="str">
            <v>NA</v>
          </cell>
        </row>
        <row r="1287">
          <cell r="B1287">
            <v>45825</v>
          </cell>
          <cell r="C1287">
            <v>231.6</v>
          </cell>
          <cell r="D1287" t="str">
            <v>Nelson_Gavin_25</v>
          </cell>
        </row>
        <row r="1288">
          <cell r="B1288">
            <v>45825</v>
          </cell>
          <cell r="C1288">
            <v>261.60000000000002</v>
          </cell>
          <cell r="D1288" t="str">
            <v>Norris_Sammy_25</v>
          </cell>
        </row>
        <row r="1289">
          <cell r="B1289">
            <v>45825</v>
          </cell>
          <cell r="C1289">
            <v>174.6</v>
          </cell>
          <cell r="D1289" t="str">
            <v>Oliver_Jason_25</v>
          </cell>
        </row>
        <row r="1290">
          <cell r="B1290">
            <v>45825</v>
          </cell>
          <cell r="C1290">
            <v>304</v>
          </cell>
          <cell r="D1290" t="str">
            <v>Ortiz_Elijah_25</v>
          </cell>
        </row>
        <row r="1291">
          <cell r="B1291">
            <v>45825</v>
          </cell>
          <cell r="C1291">
            <v>225.6</v>
          </cell>
          <cell r="D1291" t="str">
            <v>Puloka_Fata_25</v>
          </cell>
        </row>
        <row r="1292">
          <cell r="B1292">
            <v>45825</v>
          </cell>
          <cell r="C1292">
            <v>183.4</v>
          </cell>
          <cell r="D1292" t="str">
            <v>Rashada_Jaden_25</v>
          </cell>
        </row>
        <row r="1293">
          <cell r="B1293">
            <v>45825</v>
          </cell>
          <cell r="C1293">
            <v>232.8</v>
          </cell>
          <cell r="D1293" t="str">
            <v>Red_Savion_25</v>
          </cell>
        </row>
        <row r="1294">
          <cell r="B1294">
            <v>45825</v>
          </cell>
          <cell r="C1294">
            <v>185.4</v>
          </cell>
          <cell r="D1294" t="str">
            <v>Reese_Caleb_25</v>
          </cell>
        </row>
        <row r="1295">
          <cell r="B1295">
            <v>45825</v>
          </cell>
          <cell r="C1295">
            <v>320.60000000000002</v>
          </cell>
          <cell r="D1295" t="str">
            <v>Riley_Kenndel_25</v>
          </cell>
        </row>
        <row r="1296">
          <cell r="B1296">
            <v>45825</v>
          </cell>
          <cell r="C1296">
            <v>213.4</v>
          </cell>
          <cell r="D1296" t="str">
            <v>Robinson_Dontae_25</v>
          </cell>
        </row>
        <row r="1297">
          <cell r="B1297">
            <v>45825</v>
          </cell>
          <cell r="C1297">
            <v>179.8</v>
          </cell>
          <cell r="D1297" t="str">
            <v>Robinson_Jayden_25</v>
          </cell>
        </row>
        <row r="1298">
          <cell r="B1298">
            <v>45825</v>
          </cell>
          <cell r="C1298">
            <v>220.8</v>
          </cell>
          <cell r="D1298" t="str">
            <v>Rocha_Alex_25</v>
          </cell>
        </row>
        <row r="1299">
          <cell r="B1299">
            <v>45825</v>
          </cell>
          <cell r="C1299">
            <v>261.8</v>
          </cell>
          <cell r="D1299" t="str">
            <v>Ross_Kris_25</v>
          </cell>
        </row>
        <row r="1300">
          <cell r="B1300">
            <v>45825</v>
          </cell>
          <cell r="C1300">
            <v>241.8</v>
          </cell>
          <cell r="D1300" t="str">
            <v>Scott_Brennon_25</v>
          </cell>
        </row>
        <row r="1301">
          <cell r="B1301">
            <v>45825</v>
          </cell>
          <cell r="C1301">
            <v>348.4</v>
          </cell>
          <cell r="D1301" t="str">
            <v>Sheffield_DeAnthony_25</v>
          </cell>
        </row>
        <row r="1302">
          <cell r="B1302">
            <v>45825</v>
          </cell>
          <cell r="C1302">
            <v>271</v>
          </cell>
          <cell r="D1302" t="str">
            <v>Slater_Luke_25</v>
          </cell>
        </row>
        <row r="1303">
          <cell r="B1303">
            <v>45825</v>
          </cell>
          <cell r="C1303">
            <v>170.8</v>
          </cell>
          <cell r="D1303" t="str">
            <v>Smith_Jaquail_25</v>
          </cell>
        </row>
        <row r="1304">
          <cell r="B1304">
            <v>45825</v>
          </cell>
          <cell r="C1304">
            <v>187.8</v>
          </cell>
          <cell r="D1304" t="str">
            <v>Smith_Onterrio_25</v>
          </cell>
        </row>
        <row r="1305">
          <cell r="B1305">
            <v>45825</v>
          </cell>
          <cell r="C1305">
            <v>187.6</v>
          </cell>
          <cell r="D1305" t="str">
            <v>Smith_Warren_25</v>
          </cell>
        </row>
        <row r="1306">
          <cell r="B1306">
            <v>45825</v>
          </cell>
          <cell r="C1306">
            <v>312.2</v>
          </cell>
          <cell r="D1306" t="str">
            <v>Soto_Jose_25</v>
          </cell>
        </row>
        <row r="1307">
          <cell r="B1307">
            <v>45825</v>
          </cell>
          <cell r="C1307">
            <v>307.2</v>
          </cell>
          <cell r="D1307" t="str">
            <v>Sousa_Brandon_25</v>
          </cell>
        </row>
        <row r="1308">
          <cell r="B1308">
            <v>45825</v>
          </cell>
          <cell r="C1308">
            <v>278.8</v>
          </cell>
          <cell r="D1308" t="str">
            <v>Speno_Joseph_25</v>
          </cell>
        </row>
        <row r="1309">
          <cell r="B1309">
            <v>45825</v>
          </cell>
          <cell r="C1309">
            <v>350</v>
          </cell>
          <cell r="D1309" t="str">
            <v>Stallworth_Jeremiah_25</v>
          </cell>
        </row>
        <row r="1310">
          <cell r="B1310">
            <v>45825</v>
          </cell>
          <cell r="C1310">
            <v>311.8</v>
          </cell>
          <cell r="D1310" t="str">
            <v>Summers_Bryson_25</v>
          </cell>
        </row>
        <row r="1311">
          <cell r="B1311">
            <v>45825</v>
          </cell>
          <cell r="C1311">
            <v>293.60000000000002</v>
          </cell>
          <cell r="D1311" t="str">
            <v>Swindle_Melvin_25</v>
          </cell>
        </row>
        <row r="1312">
          <cell r="B1312">
            <v>45825</v>
          </cell>
          <cell r="C1312">
            <v>287.8</v>
          </cell>
          <cell r="D1312" t="str">
            <v>Tagaloa_Brodie_25</v>
          </cell>
        </row>
        <row r="1313">
          <cell r="B1313">
            <v>45825</v>
          </cell>
          <cell r="C1313">
            <v>229.2</v>
          </cell>
          <cell r="D1313" t="str">
            <v>Tanner_Logan_25</v>
          </cell>
        </row>
        <row r="1314">
          <cell r="B1314">
            <v>45825</v>
          </cell>
          <cell r="C1314">
            <v>164.4</v>
          </cell>
          <cell r="D1314" t="str">
            <v>Taylor_Adam_25</v>
          </cell>
        </row>
        <row r="1315">
          <cell r="B1315">
            <v>45825</v>
          </cell>
          <cell r="C1315">
            <v>186.8</v>
          </cell>
          <cell r="D1315" t="str">
            <v>Taylor_Mike_25</v>
          </cell>
        </row>
        <row r="1316">
          <cell r="B1316">
            <v>45825</v>
          </cell>
          <cell r="C1316">
            <v>190.6</v>
          </cell>
          <cell r="D1316" t="str">
            <v>Thomson_Gavin_25</v>
          </cell>
        </row>
        <row r="1317">
          <cell r="B1317">
            <v>45825</v>
          </cell>
          <cell r="C1317">
            <v>293.8</v>
          </cell>
          <cell r="D1317" t="str">
            <v>Tullis_Malik_25</v>
          </cell>
        </row>
        <row r="1318">
          <cell r="B1318">
            <v>45825</v>
          </cell>
          <cell r="C1318">
            <v>236.8</v>
          </cell>
          <cell r="D1318" t="str">
            <v>Vi_Pita_25</v>
          </cell>
        </row>
        <row r="1319">
          <cell r="B1319">
            <v>45825</v>
          </cell>
          <cell r="C1319">
            <v>181.4</v>
          </cell>
          <cell r="D1319" t="str">
            <v>Williams_Cardell_25</v>
          </cell>
        </row>
        <row r="1320">
          <cell r="B1320">
            <v>45825</v>
          </cell>
          <cell r="C1320">
            <v>190.2</v>
          </cell>
          <cell r="D1320" t="str">
            <v>Williams_Jalen_25</v>
          </cell>
        </row>
        <row r="1321">
          <cell r="B1321">
            <v>45825</v>
          </cell>
          <cell r="C1321">
            <v>216.6</v>
          </cell>
          <cell r="D1321" t="str">
            <v>Williams_Jordan_25</v>
          </cell>
        </row>
        <row r="1322">
          <cell r="B1322">
            <v>45825</v>
          </cell>
          <cell r="C1322">
            <v>245.8</v>
          </cell>
          <cell r="D1322" t="str">
            <v>Williams_Xavier_25</v>
          </cell>
        </row>
        <row r="1323">
          <cell r="B1323">
            <v>45825</v>
          </cell>
          <cell r="C1323">
            <v>214</v>
          </cell>
          <cell r="D1323" t="str">
            <v>Wilson_Jace_25</v>
          </cell>
        </row>
        <row r="1324">
          <cell r="B1324">
            <v>45825</v>
          </cell>
          <cell r="C1324">
            <v>203.6</v>
          </cell>
          <cell r="D1324" t="str">
            <v>Wright_Deven_25</v>
          </cell>
        </row>
        <row r="1325">
          <cell r="B1325">
            <v>45824</v>
          </cell>
          <cell r="C1325">
            <v>293</v>
          </cell>
          <cell r="D1325" t="str">
            <v>Abdullah_Dean_25</v>
          </cell>
        </row>
        <row r="1326">
          <cell r="B1326">
            <v>45824</v>
          </cell>
          <cell r="C1326">
            <v>223</v>
          </cell>
          <cell r="D1326" t="str">
            <v>Adams_Sam_25</v>
          </cell>
        </row>
        <row r="1327">
          <cell r="B1327">
            <v>45824</v>
          </cell>
          <cell r="C1327">
            <v>192.2</v>
          </cell>
          <cell r="D1327" t="str">
            <v>Akui_Koa_25</v>
          </cell>
        </row>
        <row r="1328">
          <cell r="B1328">
            <v>45824</v>
          </cell>
          <cell r="C1328">
            <v>206.4</v>
          </cell>
          <cell r="D1328" t="str">
            <v>Anderson_Hayden_25</v>
          </cell>
        </row>
        <row r="1329">
          <cell r="B1329">
            <v>45824</v>
          </cell>
          <cell r="C1329">
            <v>173</v>
          </cell>
          <cell r="D1329" t="str">
            <v>Anderson_Jordan_25</v>
          </cell>
        </row>
        <row r="1330">
          <cell r="B1330">
            <v>45824</v>
          </cell>
          <cell r="C1330">
            <v>287</v>
          </cell>
          <cell r="D1330" t="str">
            <v>Bailey_Miles_25</v>
          </cell>
        </row>
        <row r="1331">
          <cell r="B1331">
            <v>45824</v>
          </cell>
          <cell r="C1331">
            <v>191.8</v>
          </cell>
          <cell r="D1331" t="str">
            <v>Bass_Trey_25</v>
          </cell>
        </row>
        <row r="1332">
          <cell r="B1332">
            <v>45824</v>
          </cell>
          <cell r="C1332">
            <v>218.6</v>
          </cell>
          <cell r="D1332" t="str">
            <v>Boeddeker_Hunter_25</v>
          </cell>
        </row>
        <row r="1333">
          <cell r="B1333">
            <v>45824</v>
          </cell>
          <cell r="C1333">
            <v>196.6</v>
          </cell>
          <cell r="D1333" t="str">
            <v>Borders_Curron_25</v>
          </cell>
        </row>
        <row r="1334">
          <cell r="B1334">
            <v>45824</v>
          </cell>
          <cell r="C1334">
            <v>233</v>
          </cell>
          <cell r="D1334" t="str">
            <v>Brown_Elias_25</v>
          </cell>
        </row>
        <row r="1335">
          <cell r="B1335">
            <v>45824</v>
          </cell>
          <cell r="C1335">
            <v>165</v>
          </cell>
          <cell r="D1335" t="str">
            <v>Bryant_Ajon_25</v>
          </cell>
        </row>
        <row r="1336">
          <cell r="B1336">
            <v>45824</v>
          </cell>
          <cell r="C1336">
            <v>231</v>
          </cell>
          <cell r="D1336" t="str">
            <v>Cashiola_Josh_25</v>
          </cell>
        </row>
        <row r="1337">
          <cell r="B1337">
            <v>45824</v>
          </cell>
          <cell r="C1337">
            <v>176</v>
          </cell>
          <cell r="D1337" t="str">
            <v>Chouteau_Lono_25</v>
          </cell>
        </row>
        <row r="1338">
          <cell r="B1338">
            <v>45824</v>
          </cell>
          <cell r="C1338">
            <v>158</v>
          </cell>
          <cell r="D1338" t="str">
            <v>Conerly_Tim_25</v>
          </cell>
        </row>
        <row r="1339">
          <cell r="B1339">
            <v>45824</v>
          </cell>
          <cell r="C1339">
            <v>171.2</v>
          </cell>
          <cell r="D1339" t="str">
            <v>Curtis_Jamar_25</v>
          </cell>
        </row>
        <row r="1340">
          <cell r="B1340">
            <v>45824</v>
          </cell>
          <cell r="C1340">
            <v>239.8</v>
          </cell>
          <cell r="D1340" t="str">
            <v>Davis_Diego_25</v>
          </cell>
        </row>
        <row r="1341">
          <cell r="B1341">
            <v>45824</v>
          </cell>
          <cell r="C1341">
            <v>196.2</v>
          </cell>
          <cell r="D1341" t="str">
            <v>Emerson_Yebrell_25</v>
          </cell>
        </row>
        <row r="1342">
          <cell r="B1342">
            <v>45824</v>
          </cell>
          <cell r="C1342">
            <v>227.4</v>
          </cell>
          <cell r="D1342" t="str">
            <v>Eskridge_Matthew_25</v>
          </cell>
        </row>
        <row r="1343">
          <cell r="B1343">
            <v>45824</v>
          </cell>
          <cell r="C1343">
            <v>172.4</v>
          </cell>
          <cell r="D1343" t="str">
            <v>Fernandez_Tre_25</v>
          </cell>
        </row>
        <row r="1344">
          <cell r="B1344">
            <v>45824</v>
          </cell>
          <cell r="C1344">
            <v>185.2</v>
          </cell>
          <cell r="D1344" t="str">
            <v>Firebaugh_Joseph_25</v>
          </cell>
        </row>
        <row r="1345">
          <cell r="B1345">
            <v>45824</v>
          </cell>
          <cell r="C1345">
            <v>169.4</v>
          </cell>
          <cell r="D1345" t="str">
            <v>Fresques_Jaxon_25</v>
          </cell>
        </row>
        <row r="1346">
          <cell r="B1346">
            <v>45824</v>
          </cell>
          <cell r="C1346">
            <v>193.2</v>
          </cell>
          <cell r="D1346" t="str">
            <v>Garner_Drey_25</v>
          </cell>
        </row>
        <row r="1347">
          <cell r="B1347">
            <v>45824</v>
          </cell>
          <cell r="C1347">
            <v>319</v>
          </cell>
          <cell r="D1347" t="str">
            <v>Gillespie_James_25</v>
          </cell>
        </row>
        <row r="1348">
          <cell r="B1348">
            <v>45824</v>
          </cell>
          <cell r="C1348">
            <v>218.8</v>
          </cell>
          <cell r="D1348" t="str">
            <v>Gooden_Dylan_25</v>
          </cell>
        </row>
        <row r="1349">
          <cell r="B1349">
            <v>45824</v>
          </cell>
          <cell r="C1349">
            <v>180.2</v>
          </cell>
          <cell r="D1349" t="str">
            <v>Gordon_Diesel_25</v>
          </cell>
        </row>
        <row r="1350">
          <cell r="B1350">
            <v>45824</v>
          </cell>
          <cell r="C1350">
            <v>293.39999999999998</v>
          </cell>
          <cell r="D1350" t="str">
            <v>Gretlein_Cade_25</v>
          </cell>
        </row>
        <row r="1351">
          <cell r="B1351">
            <v>45824</v>
          </cell>
          <cell r="C1351">
            <v>194</v>
          </cell>
          <cell r="D1351" t="str">
            <v>Hammond_Rodney_25</v>
          </cell>
        </row>
        <row r="1352">
          <cell r="B1352">
            <v>45824</v>
          </cell>
          <cell r="C1352">
            <v>246.4</v>
          </cell>
          <cell r="D1352" t="str">
            <v>Hampsten_Dylan_25</v>
          </cell>
        </row>
        <row r="1353">
          <cell r="B1353">
            <v>45824</v>
          </cell>
          <cell r="C1353">
            <v>294.60000000000002</v>
          </cell>
          <cell r="D1353" t="str">
            <v>Hays_Sawyer_25</v>
          </cell>
        </row>
        <row r="1354">
          <cell r="B1354">
            <v>45824</v>
          </cell>
          <cell r="C1354">
            <v>207.8</v>
          </cell>
          <cell r="D1354" t="str">
            <v>Henderson_Damian_25</v>
          </cell>
        </row>
        <row r="1355">
          <cell r="B1355">
            <v>45824</v>
          </cell>
          <cell r="C1355">
            <v>345.4</v>
          </cell>
          <cell r="D1355" t="str">
            <v>Herman_Jordan_25</v>
          </cell>
        </row>
        <row r="1356">
          <cell r="B1356">
            <v>45824</v>
          </cell>
          <cell r="C1356">
            <v>193.4</v>
          </cell>
          <cell r="D1356" t="str">
            <v>Higgins_Kaleb_25</v>
          </cell>
        </row>
        <row r="1357">
          <cell r="B1357">
            <v>45824</v>
          </cell>
          <cell r="C1357">
            <v>231.4</v>
          </cell>
          <cell r="D1357" t="str">
            <v>Houston_Derek_25</v>
          </cell>
        </row>
        <row r="1358">
          <cell r="B1358">
            <v>45824</v>
          </cell>
          <cell r="C1358">
            <v>209.8</v>
          </cell>
          <cell r="D1358" t="str">
            <v>Huddle_Elijah_25</v>
          </cell>
        </row>
        <row r="1359">
          <cell r="B1359">
            <v>45824</v>
          </cell>
          <cell r="C1359">
            <v>310.2</v>
          </cell>
          <cell r="D1359" t="str">
            <v>Jefferson_Jordan_25</v>
          </cell>
        </row>
        <row r="1360">
          <cell r="B1360">
            <v>45824</v>
          </cell>
          <cell r="C1360">
            <v>200.4</v>
          </cell>
          <cell r="D1360" t="str">
            <v>Jefferson_KJ_25</v>
          </cell>
        </row>
        <row r="1361">
          <cell r="B1361">
            <v>45824</v>
          </cell>
          <cell r="C1361">
            <v>187.8</v>
          </cell>
          <cell r="D1361" t="str">
            <v>Johnson-Burrell_Lamont_25</v>
          </cell>
        </row>
        <row r="1362">
          <cell r="B1362">
            <v>45824</v>
          </cell>
          <cell r="C1362">
            <v>215.2</v>
          </cell>
          <cell r="D1362" t="str">
            <v>Johnston_Adam_25</v>
          </cell>
        </row>
        <row r="1363">
          <cell r="B1363">
            <v>45824</v>
          </cell>
          <cell r="C1363">
            <v>223</v>
          </cell>
          <cell r="D1363" t="str">
            <v>Jones_Jekob_25</v>
          </cell>
        </row>
        <row r="1364">
          <cell r="B1364">
            <v>45824</v>
          </cell>
          <cell r="C1364">
            <v>327</v>
          </cell>
          <cell r="D1364" t="str">
            <v>Kindle_Malachi_25</v>
          </cell>
        </row>
        <row r="1365">
          <cell r="B1365">
            <v>45824</v>
          </cell>
          <cell r="C1365">
            <v>297.60000000000002</v>
          </cell>
          <cell r="D1365" t="str">
            <v>Kovacs_Giovanni_25</v>
          </cell>
        </row>
        <row r="1366">
          <cell r="B1366">
            <v>45824</v>
          </cell>
          <cell r="C1366">
            <v>163</v>
          </cell>
          <cell r="D1366" t="str">
            <v>Lee_Ricky_25</v>
          </cell>
        </row>
        <row r="1367">
          <cell r="B1367">
            <v>45824</v>
          </cell>
          <cell r="C1367">
            <v>210</v>
          </cell>
          <cell r="D1367" t="str">
            <v>Malone_Jamar_25</v>
          </cell>
        </row>
        <row r="1368">
          <cell r="B1368">
            <v>45824</v>
          </cell>
          <cell r="C1368">
            <v>345.2</v>
          </cell>
          <cell r="D1368" t="str">
            <v>Massey_Syncere_25</v>
          </cell>
        </row>
        <row r="1369">
          <cell r="B1369">
            <v>45824</v>
          </cell>
          <cell r="C1369">
            <v>330</v>
          </cell>
          <cell r="D1369" t="str">
            <v>May_Davis_25</v>
          </cell>
        </row>
        <row r="1370">
          <cell r="B1370">
            <v>45824</v>
          </cell>
          <cell r="C1370">
            <v>177.6</v>
          </cell>
          <cell r="D1370" t="str">
            <v>McDaniel_Damien_25</v>
          </cell>
        </row>
        <row r="1371">
          <cell r="B1371">
            <v>45824</v>
          </cell>
          <cell r="C1371">
            <v>188.4</v>
          </cell>
          <cell r="D1371" t="str">
            <v>McDowell_Connor_25</v>
          </cell>
        </row>
        <row r="1372">
          <cell r="B1372">
            <v>45824</v>
          </cell>
          <cell r="C1372">
            <v>281</v>
          </cell>
          <cell r="D1372" t="str">
            <v>McGlothen_Jayland_25</v>
          </cell>
        </row>
        <row r="1373">
          <cell r="B1373">
            <v>45824</v>
          </cell>
          <cell r="C1373">
            <v>195.8</v>
          </cell>
          <cell r="D1373" t="str">
            <v>McGough_Cal_25</v>
          </cell>
        </row>
        <row r="1374">
          <cell r="B1374">
            <v>45824</v>
          </cell>
          <cell r="C1374">
            <v>289.8</v>
          </cell>
          <cell r="D1374" t="str">
            <v>McKay_Richard_25</v>
          </cell>
        </row>
        <row r="1375">
          <cell r="B1375">
            <v>45824</v>
          </cell>
          <cell r="C1375">
            <v>194</v>
          </cell>
          <cell r="D1375" t="str">
            <v>McKenzie_Anta'Veon_25</v>
          </cell>
        </row>
        <row r="1376">
          <cell r="B1376">
            <v>45824</v>
          </cell>
          <cell r="C1376">
            <v>182.4</v>
          </cell>
          <cell r="D1376" t="str">
            <v>Meadors_Grant_25</v>
          </cell>
        </row>
        <row r="1377">
          <cell r="B1377">
            <v>45824</v>
          </cell>
          <cell r="C1377">
            <v>297.39999999999998</v>
          </cell>
          <cell r="D1377" t="str">
            <v>Meek_Aidan_25</v>
          </cell>
        </row>
        <row r="1378">
          <cell r="B1378">
            <v>45824</v>
          </cell>
          <cell r="C1378">
            <v>183.6</v>
          </cell>
          <cell r="D1378" t="str">
            <v>Melanson_Mike_25</v>
          </cell>
        </row>
        <row r="1379">
          <cell r="B1379">
            <v>45824</v>
          </cell>
          <cell r="C1379">
            <v>201.6</v>
          </cell>
          <cell r="D1379" t="str">
            <v>Mitchell_Naytel_25</v>
          </cell>
        </row>
        <row r="1380">
          <cell r="B1380">
            <v>45824</v>
          </cell>
          <cell r="C1380">
            <v>323.2</v>
          </cell>
          <cell r="D1380" t="str">
            <v>Moore_Jaxon_25</v>
          </cell>
        </row>
        <row r="1381">
          <cell r="B1381">
            <v>45824</v>
          </cell>
          <cell r="C1381">
            <v>218.4</v>
          </cell>
          <cell r="D1381" t="str">
            <v>Moore_Oscar_25</v>
          </cell>
        </row>
        <row r="1382">
          <cell r="B1382">
            <v>45824</v>
          </cell>
          <cell r="C1382">
            <v>177.2</v>
          </cell>
          <cell r="D1382" t="str">
            <v>Mullican_Elias_25</v>
          </cell>
        </row>
        <row r="1383">
          <cell r="B1383">
            <v>45824</v>
          </cell>
          <cell r="C1383">
            <v>193.6</v>
          </cell>
          <cell r="D1383" t="str">
            <v>NA</v>
          </cell>
        </row>
        <row r="1384">
          <cell r="B1384">
            <v>45824</v>
          </cell>
          <cell r="C1384">
            <v>230.8</v>
          </cell>
          <cell r="D1384" t="str">
            <v>Nelson_Gavin_25</v>
          </cell>
        </row>
        <row r="1385">
          <cell r="B1385">
            <v>45824</v>
          </cell>
          <cell r="C1385">
            <v>259.2</v>
          </cell>
          <cell r="D1385" t="str">
            <v>Norris_Sammy_25</v>
          </cell>
        </row>
        <row r="1386">
          <cell r="B1386">
            <v>45824</v>
          </cell>
          <cell r="C1386">
            <v>173.8</v>
          </cell>
          <cell r="D1386" t="str">
            <v>Oliver_Jason_25</v>
          </cell>
        </row>
        <row r="1387">
          <cell r="B1387">
            <v>45824</v>
          </cell>
          <cell r="C1387">
            <v>303.2</v>
          </cell>
          <cell r="D1387" t="str">
            <v>Ortiz_Elijah_25</v>
          </cell>
        </row>
        <row r="1388">
          <cell r="B1388">
            <v>45824</v>
          </cell>
          <cell r="C1388">
            <v>225</v>
          </cell>
          <cell r="D1388" t="str">
            <v>Puloka_Fata_25</v>
          </cell>
        </row>
        <row r="1389">
          <cell r="B1389">
            <v>45824</v>
          </cell>
          <cell r="C1389">
            <v>185.8</v>
          </cell>
          <cell r="D1389" t="str">
            <v>Rashada_Jaden_25</v>
          </cell>
        </row>
        <row r="1390">
          <cell r="B1390">
            <v>45824</v>
          </cell>
          <cell r="C1390">
            <v>231.8</v>
          </cell>
          <cell r="D1390" t="str">
            <v>Red_Savion_25</v>
          </cell>
        </row>
        <row r="1391">
          <cell r="B1391">
            <v>45824</v>
          </cell>
          <cell r="C1391">
            <v>320</v>
          </cell>
          <cell r="D1391" t="str">
            <v>Riley_Kenndel_25</v>
          </cell>
        </row>
        <row r="1392">
          <cell r="B1392">
            <v>45824</v>
          </cell>
          <cell r="C1392">
            <v>216.2</v>
          </cell>
          <cell r="D1392" t="str">
            <v>Robinson_Dontae_25</v>
          </cell>
        </row>
        <row r="1393">
          <cell r="B1393">
            <v>45824</v>
          </cell>
          <cell r="C1393">
            <v>179.2</v>
          </cell>
          <cell r="D1393" t="str">
            <v>Robinson_Jayden_25</v>
          </cell>
        </row>
        <row r="1394">
          <cell r="B1394">
            <v>45824</v>
          </cell>
          <cell r="C1394">
            <v>219.2</v>
          </cell>
          <cell r="D1394" t="str">
            <v>Rocha_Alex_25</v>
          </cell>
        </row>
        <row r="1395">
          <cell r="B1395">
            <v>45824</v>
          </cell>
          <cell r="C1395">
            <v>261.8</v>
          </cell>
          <cell r="D1395" t="str">
            <v>Ross_Kris_25</v>
          </cell>
        </row>
        <row r="1396">
          <cell r="B1396">
            <v>45824</v>
          </cell>
          <cell r="C1396">
            <v>244</v>
          </cell>
          <cell r="D1396" t="str">
            <v>Scott_Brennon_25</v>
          </cell>
        </row>
        <row r="1397">
          <cell r="B1397">
            <v>45824</v>
          </cell>
          <cell r="C1397">
            <v>348.2</v>
          </cell>
          <cell r="D1397" t="str">
            <v>Sheffield_DeAnthony_25</v>
          </cell>
        </row>
        <row r="1398">
          <cell r="B1398">
            <v>45824</v>
          </cell>
          <cell r="C1398">
            <v>267.8</v>
          </cell>
          <cell r="D1398" t="str">
            <v>Slater_Luke_25</v>
          </cell>
        </row>
        <row r="1399">
          <cell r="B1399">
            <v>45824</v>
          </cell>
          <cell r="C1399">
            <v>170</v>
          </cell>
          <cell r="D1399" t="str">
            <v>Smith_Jaquail_25</v>
          </cell>
        </row>
        <row r="1400">
          <cell r="B1400">
            <v>45824</v>
          </cell>
          <cell r="C1400">
            <v>189.6</v>
          </cell>
          <cell r="D1400" t="str">
            <v>Smith_Onterrio_25</v>
          </cell>
        </row>
        <row r="1401">
          <cell r="B1401">
            <v>45824</v>
          </cell>
          <cell r="C1401">
            <v>191</v>
          </cell>
          <cell r="D1401" t="str">
            <v>Smith_Warren_25</v>
          </cell>
        </row>
        <row r="1402">
          <cell r="B1402">
            <v>45824</v>
          </cell>
          <cell r="C1402">
            <v>309</v>
          </cell>
          <cell r="D1402" t="str">
            <v>Soto_Jose_25</v>
          </cell>
        </row>
        <row r="1403">
          <cell r="B1403">
            <v>45824</v>
          </cell>
          <cell r="C1403">
            <v>304.8</v>
          </cell>
          <cell r="D1403" t="str">
            <v>Sousa_Brandon_25</v>
          </cell>
        </row>
        <row r="1404">
          <cell r="B1404">
            <v>45824</v>
          </cell>
          <cell r="C1404">
            <v>279.39999999999998</v>
          </cell>
          <cell r="D1404" t="str">
            <v>Speno_Joseph_25</v>
          </cell>
        </row>
        <row r="1405">
          <cell r="B1405">
            <v>45824</v>
          </cell>
          <cell r="C1405">
            <v>348.6</v>
          </cell>
          <cell r="D1405" t="str">
            <v>Stallworth_Jeremiah_25</v>
          </cell>
        </row>
        <row r="1406">
          <cell r="B1406">
            <v>45824</v>
          </cell>
          <cell r="C1406">
            <v>314.8</v>
          </cell>
          <cell r="D1406" t="str">
            <v>Summers_Bryson_25</v>
          </cell>
        </row>
        <row r="1407">
          <cell r="B1407">
            <v>45824</v>
          </cell>
          <cell r="C1407">
            <v>278.39999999999998</v>
          </cell>
          <cell r="D1407" t="str">
            <v>Tagaloa_Brodie_25</v>
          </cell>
        </row>
        <row r="1408">
          <cell r="B1408">
            <v>45824</v>
          </cell>
          <cell r="C1408">
            <v>231.6</v>
          </cell>
          <cell r="D1408" t="str">
            <v>Tanner_Logan_25</v>
          </cell>
        </row>
        <row r="1409">
          <cell r="B1409">
            <v>45824</v>
          </cell>
          <cell r="C1409">
            <v>165.4</v>
          </cell>
          <cell r="D1409" t="str">
            <v>Taylor_Adam_25</v>
          </cell>
        </row>
        <row r="1410">
          <cell r="B1410">
            <v>45824</v>
          </cell>
          <cell r="C1410">
            <v>186.2</v>
          </cell>
          <cell r="D1410" t="str">
            <v>Taylor_Mike_25</v>
          </cell>
        </row>
        <row r="1411">
          <cell r="B1411">
            <v>45824</v>
          </cell>
          <cell r="C1411">
            <v>190.2</v>
          </cell>
          <cell r="D1411" t="str">
            <v>Thomson_Gavin_25</v>
          </cell>
        </row>
        <row r="1412">
          <cell r="B1412">
            <v>45824</v>
          </cell>
          <cell r="C1412">
            <v>295.2</v>
          </cell>
          <cell r="D1412" t="str">
            <v>Tullis_Malik_25</v>
          </cell>
        </row>
        <row r="1413">
          <cell r="B1413">
            <v>45824</v>
          </cell>
          <cell r="C1413">
            <v>237.6</v>
          </cell>
          <cell r="D1413" t="str">
            <v>Vi_Pita_25</v>
          </cell>
        </row>
        <row r="1414">
          <cell r="B1414">
            <v>45824</v>
          </cell>
          <cell r="C1414">
            <v>181.4</v>
          </cell>
          <cell r="D1414" t="str">
            <v>Williams_Cardell_25</v>
          </cell>
        </row>
        <row r="1415">
          <cell r="B1415">
            <v>45824</v>
          </cell>
          <cell r="C1415">
            <v>192.4</v>
          </cell>
          <cell r="D1415" t="str">
            <v>Williams_Jalen_25</v>
          </cell>
        </row>
        <row r="1416">
          <cell r="B1416">
            <v>45824</v>
          </cell>
          <cell r="C1416">
            <v>217.2</v>
          </cell>
          <cell r="D1416" t="str">
            <v>Williams_Jordan_25</v>
          </cell>
        </row>
        <row r="1417">
          <cell r="B1417">
            <v>45824</v>
          </cell>
          <cell r="C1417">
            <v>250.2</v>
          </cell>
          <cell r="D1417" t="str">
            <v>Williams_Xavier_25</v>
          </cell>
        </row>
        <row r="1418">
          <cell r="B1418">
            <v>45824</v>
          </cell>
          <cell r="C1418">
            <v>217.6</v>
          </cell>
          <cell r="D1418" t="str">
            <v>Wilson_Jace_25</v>
          </cell>
        </row>
        <row r="1419">
          <cell r="B1419">
            <v>45824</v>
          </cell>
          <cell r="C1419">
            <v>202.6</v>
          </cell>
          <cell r="D1419" t="str">
            <v>Wright_Deven_25</v>
          </cell>
        </row>
        <row r="1420">
          <cell r="B1420">
            <v>45820</v>
          </cell>
          <cell r="C1420">
            <v>298</v>
          </cell>
          <cell r="D1420" t="str">
            <v>Abdullah_Dean_25</v>
          </cell>
        </row>
        <row r="1421">
          <cell r="B1421">
            <v>45820</v>
          </cell>
          <cell r="C1421">
            <v>220.96799999999999</v>
          </cell>
          <cell r="D1421" t="str">
            <v>Adams_Sam_25</v>
          </cell>
        </row>
        <row r="1422">
          <cell r="B1422">
            <v>45820</v>
          </cell>
          <cell r="C1422">
            <v>188.584</v>
          </cell>
          <cell r="D1422" t="str">
            <v>Akui_Koa_25</v>
          </cell>
        </row>
        <row r="1423">
          <cell r="B1423">
            <v>45820</v>
          </cell>
          <cell r="C1423">
            <v>205.06200000000001</v>
          </cell>
          <cell r="D1423" t="str">
            <v>Anderson_Hayden_25</v>
          </cell>
        </row>
        <row r="1424">
          <cell r="B1424">
            <v>45820</v>
          </cell>
          <cell r="C1424">
            <v>174.30600000000001</v>
          </cell>
          <cell r="D1424" t="str">
            <v>Anderson_Jordan_25</v>
          </cell>
        </row>
        <row r="1425">
          <cell r="B1425">
            <v>45820</v>
          </cell>
          <cell r="C1425">
            <v>204.20400000000001</v>
          </cell>
          <cell r="D1425" t="str">
            <v>Atkinson_Jordan_25</v>
          </cell>
        </row>
        <row r="1426">
          <cell r="B1426">
            <v>45820</v>
          </cell>
          <cell r="C1426">
            <v>283.05200000000002</v>
          </cell>
          <cell r="D1426" t="str">
            <v>Bailey_Miles_25</v>
          </cell>
        </row>
        <row r="1427">
          <cell r="B1427">
            <v>45820</v>
          </cell>
          <cell r="C1427">
            <v>190.34399999999999</v>
          </cell>
          <cell r="D1427" t="str">
            <v>Bass_Trey_25</v>
          </cell>
        </row>
        <row r="1428">
          <cell r="B1428">
            <v>45820</v>
          </cell>
          <cell r="C1428">
            <v>219.29599999999999</v>
          </cell>
          <cell r="D1428" t="str">
            <v>Boeddeker_Hunter_25</v>
          </cell>
        </row>
        <row r="1429">
          <cell r="B1429">
            <v>45820</v>
          </cell>
          <cell r="C1429">
            <v>195.8</v>
          </cell>
          <cell r="D1429" t="str">
            <v>Borders_Curron_25</v>
          </cell>
        </row>
        <row r="1430">
          <cell r="B1430">
            <v>45820</v>
          </cell>
          <cell r="C1430">
            <v>160.16</v>
          </cell>
          <cell r="D1430" t="str">
            <v>Bryant_Ajon_25</v>
          </cell>
        </row>
        <row r="1431">
          <cell r="B1431">
            <v>45820</v>
          </cell>
          <cell r="C1431">
            <v>192.17</v>
          </cell>
          <cell r="D1431" t="str">
            <v>Butler_Dejuan_25</v>
          </cell>
        </row>
        <row r="1432">
          <cell r="B1432">
            <v>45820</v>
          </cell>
          <cell r="C1432">
            <v>229.85599999999999</v>
          </cell>
          <cell r="D1432" t="str">
            <v>Cashiola_Josh_25</v>
          </cell>
        </row>
        <row r="1433">
          <cell r="B1433">
            <v>45820</v>
          </cell>
          <cell r="C1433">
            <v>176.74799999999999</v>
          </cell>
          <cell r="D1433" t="str">
            <v>Chouteau_Lono_25</v>
          </cell>
        </row>
        <row r="1434">
          <cell r="B1434">
            <v>45820</v>
          </cell>
          <cell r="C1434">
            <v>159.16999999999999</v>
          </cell>
          <cell r="D1434" t="str">
            <v>Conerly_Tim_25</v>
          </cell>
        </row>
        <row r="1435">
          <cell r="B1435">
            <v>45820</v>
          </cell>
          <cell r="C1435">
            <v>167.70599999999999</v>
          </cell>
          <cell r="D1435" t="str">
            <v>Curtis_Jamar_25</v>
          </cell>
        </row>
        <row r="1436">
          <cell r="B1436">
            <v>45820</v>
          </cell>
          <cell r="C1436">
            <v>240.57</v>
          </cell>
          <cell r="D1436" t="str">
            <v>Davis_Diego_25</v>
          </cell>
        </row>
        <row r="1437">
          <cell r="B1437">
            <v>45820</v>
          </cell>
          <cell r="C1437">
            <v>197.25200000000001</v>
          </cell>
          <cell r="D1437" t="str">
            <v>Emerson_Yebrell_25</v>
          </cell>
        </row>
        <row r="1438">
          <cell r="B1438">
            <v>45820</v>
          </cell>
          <cell r="C1438">
            <v>222.596</v>
          </cell>
          <cell r="D1438" t="str">
            <v>Eskridge_Matthew_25</v>
          </cell>
        </row>
        <row r="1439">
          <cell r="B1439">
            <v>45820</v>
          </cell>
          <cell r="C1439">
            <v>185.482</v>
          </cell>
          <cell r="D1439" t="str">
            <v>Firebaugh_Joseph_25</v>
          </cell>
        </row>
        <row r="1440">
          <cell r="B1440">
            <v>45820</v>
          </cell>
          <cell r="C1440">
            <v>171.446</v>
          </cell>
          <cell r="D1440" t="str">
            <v>Fresques_Jaxon_25</v>
          </cell>
        </row>
        <row r="1441">
          <cell r="B1441">
            <v>45820</v>
          </cell>
          <cell r="C1441">
            <v>193.09399999999999</v>
          </cell>
          <cell r="D1441" t="str">
            <v>Garner_Drey_25</v>
          </cell>
        </row>
        <row r="1442">
          <cell r="B1442">
            <v>45820</v>
          </cell>
          <cell r="C1442">
            <v>313.19200000000001</v>
          </cell>
          <cell r="D1442" t="str">
            <v>Gillespie_James_25</v>
          </cell>
        </row>
        <row r="1443">
          <cell r="B1443">
            <v>45820</v>
          </cell>
          <cell r="C1443">
            <v>174.96600000000001</v>
          </cell>
          <cell r="D1443" t="str">
            <v>Gordon_Diesel_25</v>
          </cell>
        </row>
        <row r="1444">
          <cell r="B1444">
            <v>45820</v>
          </cell>
          <cell r="C1444">
            <v>292.11599999999999</v>
          </cell>
          <cell r="D1444" t="str">
            <v>Gretlein_Cade_25</v>
          </cell>
        </row>
        <row r="1445">
          <cell r="B1445">
            <v>45820</v>
          </cell>
          <cell r="C1445">
            <v>194.50200000000001</v>
          </cell>
          <cell r="D1445" t="str">
            <v>Hammond_Rodney_25</v>
          </cell>
        </row>
        <row r="1446">
          <cell r="B1446">
            <v>45820</v>
          </cell>
          <cell r="C1446">
            <v>241.648</v>
          </cell>
          <cell r="D1446" t="str">
            <v>Hampsten_Dylan_25</v>
          </cell>
        </row>
        <row r="1447">
          <cell r="B1447">
            <v>45820</v>
          </cell>
          <cell r="C1447">
            <v>291.14800000000002</v>
          </cell>
          <cell r="D1447" t="str">
            <v>Hays_Sawyer_25</v>
          </cell>
        </row>
        <row r="1448">
          <cell r="B1448">
            <v>45820</v>
          </cell>
          <cell r="C1448">
            <v>209.77</v>
          </cell>
          <cell r="D1448" t="str">
            <v>Henderson_Damian_25</v>
          </cell>
        </row>
        <row r="1449">
          <cell r="B1449">
            <v>45820</v>
          </cell>
          <cell r="C1449">
            <v>345.6</v>
          </cell>
          <cell r="D1449" t="str">
            <v>Herman_Jordan_25</v>
          </cell>
        </row>
        <row r="1450">
          <cell r="B1450">
            <v>45820</v>
          </cell>
          <cell r="C1450">
            <v>193.446</v>
          </cell>
          <cell r="D1450" t="str">
            <v>Higgins_Kaleb_25</v>
          </cell>
        </row>
        <row r="1451">
          <cell r="B1451">
            <v>45820</v>
          </cell>
          <cell r="C1451">
            <v>229.4</v>
          </cell>
          <cell r="D1451" t="str">
            <v>Houston_Derek_25</v>
          </cell>
        </row>
        <row r="1452">
          <cell r="B1452">
            <v>45820</v>
          </cell>
          <cell r="C1452">
            <v>209.572</v>
          </cell>
          <cell r="D1452" t="str">
            <v>Huddle_Elijah_25</v>
          </cell>
        </row>
        <row r="1453">
          <cell r="B1453">
            <v>45820</v>
          </cell>
          <cell r="C1453">
            <v>307.714</v>
          </cell>
          <cell r="D1453" t="str">
            <v>Jefferson_Jordan_25</v>
          </cell>
        </row>
        <row r="1454">
          <cell r="B1454">
            <v>45820</v>
          </cell>
          <cell r="C1454">
            <v>202.51</v>
          </cell>
          <cell r="D1454" t="str">
            <v>Jefferson_KJ_25</v>
          </cell>
        </row>
        <row r="1455">
          <cell r="B1455">
            <v>45820</v>
          </cell>
          <cell r="C1455">
            <v>185.30600000000001</v>
          </cell>
          <cell r="D1455" t="str">
            <v>Johnson-Burrell_Lamont_25</v>
          </cell>
        </row>
        <row r="1456">
          <cell r="B1456">
            <v>45820</v>
          </cell>
          <cell r="C1456">
            <v>213.73</v>
          </cell>
          <cell r="D1456" t="str">
            <v>Johnston_Adam_25</v>
          </cell>
        </row>
        <row r="1457">
          <cell r="B1457">
            <v>45820</v>
          </cell>
          <cell r="C1457">
            <v>296.29599999999999</v>
          </cell>
          <cell r="D1457" t="str">
            <v>Kovacs_Giovanni_25</v>
          </cell>
        </row>
        <row r="1458">
          <cell r="B1458">
            <v>45820</v>
          </cell>
          <cell r="C1458">
            <v>161.81</v>
          </cell>
          <cell r="D1458" t="str">
            <v>Lee_Ricky_25</v>
          </cell>
        </row>
        <row r="1459">
          <cell r="B1459">
            <v>45820</v>
          </cell>
          <cell r="C1459">
            <v>210.34200000000001</v>
          </cell>
          <cell r="D1459" t="str">
            <v>Malone_Jamar_25</v>
          </cell>
        </row>
        <row r="1460">
          <cell r="B1460">
            <v>45820</v>
          </cell>
          <cell r="C1460">
            <v>331.03399999999999</v>
          </cell>
          <cell r="D1460" t="str">
            <v>May_Davis_25</v>
          </cell>
        </row>
        <row r="1461">
          <cell r="B1461">
            <v>45820</v>
          </cell>
          <cell r="C1461">
            <v>175.38399999999999</v>
          </cell>
          <cell r="D1461" t="str">
            <v>McDaniel_Damien_25</v>
          </cell>
        </row>
        <row r="1462">
          <cell r="B1462">
            <v>45820</v>
          </cell>
          <cell r="C1462">
            <v>187.858</v>
          </cell>
          <cell r="D1462" t="str">
            <v>McDowell_Connor_25</v>
          </cell>
        </row>
        <row r="1463">
          <cell r="B1463">
            <v>45820</v>
          </cell>
          <cell r="C1463">
            <v>276.84800000000001</v>
          </cell>
          <cell r="D1463" t="str">
            <v>McGlothen_Jayland_25</v>
          </cell>
        </row>
        <row r="1464">
          <cell r="B1464">
            <v>45820</v>
          </cell>
          <cell r="C1464">
            <v>195.8</v>
          </cell>
          <cell r="D1464" t="str">
            <v>McGough_Cal_25</v>
          </cell>
        </row>
        <row r="1465">
          <cell r="B1465">
            <v>45820</v>
          </cell>
          <cell r="C1465">
            <v>282.65600000000001</v>
          </cell>
          <cell r="D1465" t="str">
            <v>McKay_Richard_25</v>
          </cell>
        </row>
        <row r="1466">
          <cell r="B1466">
            <v>45820</v>
          </cell>
          <cell r="C1466">
            <v>187.572</v>
          </cell>
          <cell r="D1466" t="str">
            <v>McKenzie_Anta'Veon_25</v>
          </cell>
        </row>
        <row r="1467">
          <cell r="B1467">
            <v>45820</v>
          </cell>
          <cell r="C1467">
            <v>184.536</v>
          </cell>
          <cell r="D1467" t="str">
            <v>Meadors_Grant_25</v>
          </cell>
        </row>
        <row r="1468">
          <cell r="B1468">
            <v>45820</v>
          </cell>
          <cell r="C1468">
            <v>294.71199999999999</v>
          </cell>
          <cell r="D1468" t="str">
            <v>Meek_Aidan_25</v>
          </cell>
        </row>
        <row r="1469">
          <cell r="B1469">
            <v>45820</v>
          </cell>
          <cell r="C1469">
            <v>185.2</v>
          </cell>
          <cell r="D1469" t="str">
            <v>Melanson_Mike_25</v>
          </cell>
        </row>
        <row r="1470">
          <cell r="B1470">
            <v>45820</v>
          </cell>
          <cell r="C1470">
            <v>215.27</v>
          </cell>
          <cell r="D1470" t="str">
            <v>Moore_Oscar_25</v>
          </cell>
        </row>
        <row r="1471">
          <cell r="B1471">
            <v>45820</v>
          </cell>
          <cell r="C1471">
            <v>173.51400000000001</v>
          </cell>
          <cell r="D1471" t="str">
            <v>Mullican_Elias_25</v>
          </cell>
        </row>
        <row r="1472">
          <cell r="B1472">
            <v>45820</v>
          </cell>
          <cell r="C1472">
            <v>185.96600000000001</v>
          </cell>
          <cell r="D1472" t="str">
            <v>NA</v>
          </cell>
        </row>
        <row r="1473">
          <cell r="B1473">
            <v>45820</v>
          </cell>
          <cell r="C1473">
            <v>232.958</v>
          </cell>
          <cell r="D1473" t="str">
            <v>Nelson_Gavin_25</v>
          </cell>
        </row>
        <row r="1474">
          <cell r="B1474">
            <v>45820</v>
          </cell>
          <cell r="C1474">
            <v>261.47000000000003</v>
          </cell>
          <cell r="D1474" t="str">
            <v>Norris_Sammy_25</v>
          </cell>
        </row>
        <row r="1475">
          <cell r="B1475">
            <v>45820</v>
          </cell>
          <cell r="C1475">
            <v>171.53399999999999</v>
          </cell>
          <cell r="D1475" t="str">
            <v>Oliver_Jason_25</v>
          </cell>
        </row>
        <row r="1476">
          <cell r="B1476">
            <v>45820</v>
          </cell>
          <cell r="C1476">
            <v>301.774</v>
          </cell>
          <cell r="D1476" t="str">
            <v>Ortiz_Elijah_25</v>
          </cell>
        </row>
        <row r="1477">
          <cell r="B1477">
            <v>45820</v>
          </cell>
          <cell r="C1477">
            <v>228.096</v>
          </cell>
          <cell r="D1477" t="str">
            <v>Puloka_Fata_25</v>
          </cell>
        </row>
        <row r="1478">
          <cell r="B1478">
            <v>45820</v>
          </cell>
          <cell r="C1478">
            <v>183.83199999999999</v>
          </cell>
          <cell r="D1478" t="str">
            <v>Rashada_Jaden_25</v>
          </cell>
        </row>
        <row r="1479">
          <cell r="B1479">
            <v>45820</v>
          </cell>
          <cell r="C1479">
            <v>230.4</v>
          </cell>
          <cell r="D1479" t="str">
            <v>Red_Savion_25</v>
          </cell>
        </row>
        <row r="1480">
          <cell r="B1480">
            <v>45820</v>
          </cell>
          <cell r="C1480">
            <v>321.15600000000001</v>
          </cell>
          <cell r="D1480" t="str">
            <v>Riley_Kenndel_25</v>
          </cell>
        </row>
        <row r="1481">
          <cell r="B1481">
            <v>45820</v>
          </cell>
          <cell r="C1481">
            <v>176.572</v>
          </cell>
          <cell r="D1481" t="str">
            <v>Robinson_Jayden_25</v>
          </cell>
        </row>
        <row r="1482">
          <cell r="B1482">
            <v>45820</v>
          </cell>
          <cell r="C1482">
            <v>214.98400000000001</v>
          </cell>
          <cell r="D1482" t="str">
            <v>Rocha_Alex_25</v>
          </cell>
        </row>
        <row r="1483">
          <cell r="B1483">
            <v>45820</v>
          </cell>
          <cell r="C1483">
            <v>261.60000000000002</v>
          </cell>
          <cell r="D1483" t="str">
            <v>Ross_Kris_25</v>
          </cell>
        </row>
        <row r="1484">
          <cell r="B1484">
            <v>45820</v>
          </cell>
          <cell r="C1484">
            <v>240.9</v>
          </cell>
          <cell r="D1484" t="str">
            <v>Scott_Brennon_25</v>
          </cell>
        </row>
        <row r="1485">
          <cell r="B1485">
            <v>45820</v>
          </cell>
          <cell r="C1485">
            <v>269.39</v>
          </cell>
          <cell r="D1485" t="str">
            <v>Slater_Luke_25</v>
          </cell>
        </row>
        <row r="1486">
          <cell r="B1486">
            <v>45820</v>
          </cell>
          <cell r="C1486">
            <v>187.858</v>
          </cell>
          <cell r="D1486" t="str">
            <v>Smith_Onterrio_25</v>
          </cell>
        </row>
        <row r="1487">
          <cell r="B1487">
            <v>45820</v>
          </cell>
          <cell r="C1487">
            <v>190.124</v>
          </cell>
          <cell r="D1487" t="str">
            <v>Smith_Warren_25</v>
          </cell>
        </row>
        <row r="1488">
          <cell r="B1488">
            <v>45820</v>
          </cell>
          <cell r="C1488">
            <v>308.08800000000002</v>
          </cell>
          <cell r="D1488" t="str">
            <v>Soto_Jose_25</v>
          </cell>
        </row>
        <row r="1489">
          <cell r="B1489">
            <v>45820</v>
          </cell>
          <cell r="C1489">
            <v>304.32600000000002</v>
          </cell>
          <cell r="D1489" t="str">
            <v>Sousa_Brandon_25</v>
          </cell>
        </row>
        <row r="1490">
          <cell r="B1490">
            <v>45820</v>
          </cell>
          <cell r="C1490">
            <v>277.60000000000002</v>
          </cell>
          <cell r="D1490" t="str">
            <v>Speno_Joseph_25</v>
          </cell>
        </row>
        <row r="1491">
          <cell r="B1491">
            <v>45820</v>
          </cell>
          <cell r="C1491">
            <v>314.73200000000003</v>
          </cell>
          <cell r="D1491" t="str">
            <v>Summers_Bryson_25</v>
          </cell>
        </row>
        <row r="1492">
          <cell r="B1492">
            <v>45820</v>
          </cell>
          <cell r="C1492">
            <v>297.46199999999999</v>
          </cell>
          <cell r="D1492" t="str">
            <v>Swindle_Melvin_25</v>
          </cell>
        </row>
        <row r="1493">
          <cell r="B1493">
            <v>45820</v>
          </cell>
          <cell r="C1493">
            <v>278</v>
          </cell>
          <cell r="D1493" t="str">
            <v>Tagaloa_Brodie_25</v>
          </cell>
        </row>
        <row r="1494">
          <cell r="B1494">
            <v>45820</v>
          </cell>
          <cell r="C1494">
            <v>228</v>
          </cell>
          <cell r="D1494" t="str">
            <v>Tanner_Logan_25</v>
          </cell>
        </row>
        <row r="1495">
          <cell r="B1495">
            <v>45820</v>
          </cell>
          <cell r="C1495">
            <v>162.756</v>
          </cell>
          <cell r="D1495" t="str">
            <v>Taylor_Adam_25</v>
          </cell>
        </row>
        <row r="1496">
          <cell r="B1496">
            <v>45820</v>
          </cell>
          <cell r="C1496">
            <v>189.66200000000001</v>
          </cell>
          <cell r="D1496" t="str">
            <v>Thomson_Gavin_25</v>
          </cell>
        </row>
        <row r="1497">
          <cell r="B1497">
            <v>45820</v>
          </cell>
          <cell r="C1497">
            <v>290.13600000000002</v>
          </cell>
          <cell r="D1497" t="str">
            <v>Tullis_Malik_25</v>
          </cell>
        </row>
        <row r="1498">
          <cell r="B1498">
            <v>45820</v>
          </cell>
          <cell r="C1498">
            <v>234.828</v>
          </cell>
          <cell r="D1498" t="str">
            <v>Vi_Pita_25</v>
          </cell>
        </row>
        <row r="1499">
          <cell r="B1499">
            <v>45820</v>
          </cell>
          <cell r="C1499">
            <v>317.32799999999997</v>
          </cell>
          <cell r="D1499" t="str">
            <v>Watts_DeSean_25</v>
          </cell>
        </row>
        <row r="1500">
          <cell r="B1500">
            <v>45820</v>
          </cell>
          <cell r="C1500">
            <v>178.44200000000001</v>
          </cell>
          <cell r="D1500" t="str">
            <v>Williams_Cardell_25</v>
          </cell>
        </row>
        <row r="1501">
          <cell r="B1501">
            <v>45820</v>
          </cell>
          <cell r="C1501">
            <v>189.904</v>
          </cell>
          <cell r="D1501" t="str">
            <v>Williams_Jalen_25</v>
          </cell>
        </row>
        <row r="1502">
          <cell r="B1502">
            <v>45820</v>
          </cell>
          <cell r="C1502">
            <v>219.07599999999999</v>
          </cell>
          <cell r="D1502" t="str">
            <v>Williams_Jordan_25</v>
          </cell>
        </row>
        <row r="1503">
          <cell r="B1503">
            <v>45820</v>
          </cell>
          <cell r="C1503">
            <v>246.928</v>
          </cell>
          <cell r="D1503" t="str">
            <v>Williams_Xavier_25</v>
          </cell>
        </row>
        <row r="1504">
          <cell r="B1504">
            <v>45820</v>
          </cell>
          <cell r="C1504">
            <v>216.59</v>
          </cell>
          <cell r="D1504" t="str">
            <v>Wilson_Jace_25</v>
          </cell>
        </row>
        <row r="1505">
          <cell r="B1505">
            <v>45820</v>
          </cell>
          <cell r="C1505">
            <v>204.71</v>
          </cell>
          <cell r="D1505" t="str">
            <v>Wright_Deven_25</v>
          </cell>
        </row>
        <row r="1506">
          <cell r="B1506">
            <v>45817</v>
          </cell>
          <cell r="C1506">
            <v>295.8</v>
          </cell>
          <cell r="D1506" t="str">
            <v>Abdullah_Dean_25</v>
          </cell>
        </row>
        <row r="1507">
          <cell r="B1507">
            <v>45817</v>
          </cell>
          <cell r="C1507">
            <v>223.6</v>
          </cell>
          <cell r="D1507" t="str">
            <v>Adams_Sam_25</v>
          </cell>
        </row>
        <row r="1508">
          <cell r="B1508">
            <v>45817</v>
          </cell>
          <cell r="C1508">
            <v>188</v>
          </cell>
          <cell r="D1508" t="str">
            <v>Akui_Koa_25</v>
          </cell>
        </row>
        <row r="1509">
          <cell r="B1509">
            <v>45817</v>
          </cell>
          <cell r="C1509">
            <v>203.6</v>
          </cell>
          <cell r="D1509" t="str">
            <v>Anderson_Hayden_25</v>
          </cell>
        </row>
        <row r="1510">
          <cell r="B1510">
            <v>45817</v>
          </cell>
          <cell r="C1510">
            <v>170.4</v>
          </cell>
          <cell r="D1510" t="str">
            <v>Anderson_Jordan_25</v>
          </cell>
        </row>
        <row r="1511">
          <cell r="B1511">
            <v>45817</v>
          </cell>
          <cell r="C1511">
            <v>288.2</v>
          </cell>
          <cell r="D1511" t="str">
            <v>Bailey_Miles_25</v>
          </cell>
        </row>
        <row r="1512">
          <cell r="B1512">
            <v>45817</v>
          </cell>
          <cell r="C1512">
            <v>195</v>
          </cell>
          <cell r="D1512" t="str">
            <v>Bass_Trey_25</v>
          </cell>
        </row>
        <row r="1513">
          <cell r="B1513">
            <v>45817</v>
          </cell>
          <cell r="C1513">
            <v>220.8</v>
          </cell>
          <cell r="D1513" t="str">
            <v>Boeddeker_Hunter_25</v>
          </cell>
        </row>
        <row r="1514">
          <cell r="B1514">
            <v>45817</v>
          </cell>
          <cell r="C1514">
            <v>162.4</v>
          </cell>
          <cell r="D1514" t="str">
            <v>Bryant_Ajon_25</v>
          </cell>
        </row>
        <row r="1515">
          <cell r="B1515">
            <v>45817</v>
          </cell>
          <cell r="C1515">
            <v>234</v>
          </cell>
          <cell r="D1515" t="str">
            <v>Cashiola_Josh_25</v>
          </cell>
        </row>
        <row r="1516">
          <cell r="B1516">
            <v>45817</v>
          </cell>
          <cell r="C1516">
            <v>180</v>
          </cell>
          <cell r="D1516" t="str">
            <v>Chouteau_Lono_25</v>
          </cell>
        </row>
        <row r="1517">
          <cell r="B1517">
            <v>45817</v>
          </cell>
          <cell r="C1517">
            <v>158.80000000000001</v>
          </cell>
          <cell r="D1517" t="str">
            <v>Conerly_Tim_25</v>
          </cell>
        </row>
        <row r="1518">
          <cell r="B1518">
            <v>45817</v>
          </cell>
          <cell r="C1518">
            <v>172.4</v>
          </cell>
          <cell r="D1518" t="str">
            <v>Curtis_Jamar_25</v>
          </cell>
        </row>
        <row r="1519">
          <cell r="B1519">
            <v>45817</v>
          </cell>
          <cell r="C1519">
            <v>239.8</v>
          </cell>
          <cell r="D1519" t="str">
            <v>Davis_Diego_25</v>
          </cell>
        </row>
        <row r="1520">
          <cell r="B1520">
            <v>45817</v>
          </cell>
          <cell r="C1520">
            <v>196.8</v>
          </cell>
          <cell r="D1520" t="str">
            <v>Emerson_Yebrell_25</v>
          </cell>
        </row>
        <row r="1521">
          <cell r="B1521">
            <v>45817</v>
          </cell>
          <cell r="C1521">
            <v>223.8</v>
          </cell>
          <cell r="D1521" t="str">
            <v>Eskridge_Matthew_25</v>
          </cell>
        </row>
        <row r="1522">
          <cell r="B1522">
            <v>45817</v>
          </cell>
          <cell r="C1522">
            <v>183.6</v>
          </cell>
          <cell r="D1522" t="str">
            <v>Firebaugh_Joseph_25</v>
          </cell>
        </row>
        <row r="1523">
          <cell r="B1523">
            <v>45817</v>
          </cell>
          <cell r="C1523">
            <v>168</v>
          </cell>
          <cell r="D1523" t="str">
            <v>Fresques_Jaxon_25</v>
          </cell>
        </row>
        <row r="1524">
          <cell r="B1524">
            <v>45817</v>
          </cell>
          <cell r="C1524">
            <v>192.8</v>
          </cell>
          <cell r="D1524" t="str">
            <v>Garner_Drey_25</v>
          </cell>
        </row>
        <row r="1525">
          <cell r="B1525">
            <v>45817</v>
          </cell>
          <cell r="C1525">
            <v>311.39999999999998</v>
          </cell>
          <cell r="D1525" t="str">
            <v>Gillespie_James_25</v>
          </cell>
        </row>
        <row r="1526">
          <cell r="B1526">
            <v>45817</v>
          </cell>
          <cell r="C1526">
            <v>173.8</v>
          </cell>
          <cell r="D1526" t="str">
            <v>Gordon_Diesel_25</v>
          </cell>
        </row>
        <row r="1527">
          <cell r="B1527">
            <v>45817</v>
          </cell>
          <cell r="C1527">
            <v>294.39999999999998</v>
          </cell>
          <cell r="D1527" t="str">
            <v>Gretlein_Cade_25</v>
          </cell>
        </row>
        <row r="1528">
          <cell r="B1528">
            <v>45817</v>
          </cell>
          <cell r="C1528">
            <v>193</v>
          </cell>
          <cell r="D1528" t="str">
            <v>Hammond_Rodney_25</v>
          </cell>
        </row>
        <row r="1529">
          <cell r="B1529">
            <v>45817</v>
          </cell>
          <cell r="C1529">
            <v>244.4</v>
          </cell>
          <cell r="D1529" t="str">
            <v>Hampsten_Dylan_25</v>
          </cell>
        </row>
        <row r="1530">
          <cell r="B1530">
            <v>45817</v>
          </cell>
          <cell r="C1530">
            <v>295.2</v>
          </cell>
          <cell r="D1530" t="str">
            <v>Hays_Sawyer_25</v>
          </cell>
        </row>
        <row r="1531">
          <cell r="B1531">
            <v>45817</v>
          </cell>
          <cell r="C1531">
            <v>209.2</v>
          </cell>
          <cell r="D1531" t="str">
            <v>Henderson_Damian_25</v>
          </cell>
        </row>
        <row r="1532">
          <cell r="B1532">
            <v>45817</v>
          </cell>
          <cell r="C1532">
            <v>347.8</v>
          </cell>
          <cell r="D1532" t="str">
            <v>Herman_Jordan_25</v>
          </cell>
        </row>
        <row r="1533">
          <cell r="B1533">
            <v>45817</v>
          </cell>
          <cell r="C1533">
            <v>194.3</v>
          </cell>
          <cell r="D1533" t="str">
            <v>Higgins_Kaleb_25</v>
          </cell>
        </row>
        <row r="1534">
          <cell r="B1534">
            <v>45817</v>
          </cell>
          <cell r="C1534">
            <v>231.4</v>
          </cell>
          <cell r="D1534" t="str">
            <v>Houston_Derek_25</v>
          </cell>
        </row>
        <row r="1535">
          <cell r="B1535">
            <v>45817</v>
          </cell>
          <cell r="C1535">
            <v>210.4</v>
          </cell>
          <cell r="D1535" t="str">
            <v>Huddle_Elijah_25</v>
          </cell>
        </row>
        <row r="1536">
          <cell r="B1536">
            <v>45817</v>
          </cell>
          <cell r="C1536">
            <v>311</v>
          </cell>
          <cell r="D1536" t="str">
            <v>Jefferson_Jordan_25</v>
          </cell>
        </row>
        <row r="1537">
          <cell r="B1537">
            <v>45817</v>
          </cell>
          <cell r="C1537">
            <v>200</v>
          </cell>
          <cell r="D1537" t="str">
            <v>Jefferson_KJ_25</v>
          </cell>
        </row>
        <row r="1538">
          <cell r="B1538">
            <v>45817</v>
          </cell>
          <cell r="C1538">
            <v>187.2</v>
          </cell>
          <cell r="D1538" t="str">
            <v>Johnson-Burrell_Lamont_25</v>
          </cell>
        </row>
        <row r="1539">
          <cell r="B1539">
            <v>45817</v>
          </cell>
          <cell r="C1539">
            <v>212.4</v>
          </cell>
          <cell r="D1539" t="str">
            <v>Johnston_Adam_25</v>
          </cell>
        </row>
        <row r="1540">
          <cell r="B1540">
            <v>45817</v>
          </cell>
          <cell r="C1540">
            <v>293.2</v>
          </cell>
          <cell r="D1540" t="str">
            <v>Kovacs_Giovanni_25</v>
          </cell>
        </row>
        <row r="1541">
          <cell r="B1541">
            <v>45817</v>
          </cell>
          <cell r="C1541">
            <v>159.6</v>
          </cell>
          <cell r="D1541" t="str">
            <v>Lee_Ricky_25</v>
          </cell>
        </row>
        <row r="1542">
          <cell r="B1542">
            <v>45817</v>
          </cell>
          <cell r="C1542">
            <v>211.2</v>
          </cell>
          <cell r="D1542" t="str">
            <v>Malone_Jamar_25</v>
          </cell>
        </row>
        <row r="1543">
          <cell r="B1543">
            <v>45817</v>
          </cell>
          <cell r="C1543">
            <v>345</v>
          </cell>
          <cell r="D1543" t="str">
            <v>Massey_Syncere_25</v>
          </cell>
        </row>
        <row r="1544">
          <cell r="B1544">
            <v>45817</v>
          </cell>
          <cell r="C1544">
            <v>332.2</v>
          </cell>
          <cell r="D1544" t="str">
            <v>May_Davis_25</v>
          </cell>
        </row>
        <row r="1545">
          <cell r="B1545">
            <v>45817</v>
          </cell>
          <cell r="C1545">
            <v>175.4</v>
          </cell>
          <cell r="D1545" t="str">
            <v>McDaniel_Damien_25</v>
          </cell>
        </row>
        <row r="1546">
          <cell r="B1546">
            <v>45817</v>
          </cell>
          <cell r="C1546">
            <v>187.2</v>
          </cell>
          <cell r="D1546" t="str">
            <v>McDowell_Connor_25</v>
          </cell>
        </row>
        <row r="1547">
          <cell r="B1547">
            <v>45817</v>
          </cell>
          <cell r="C1547">
            <v>279.60000000000002</v>
          </cell>
          <cell r="D1547" t="str">
            <v>McGlothen_Jayland_25</v>
          </cell>
        </row>
        <row r="1548">
          <cell r="B1548">
            <v>45817</v>
          </cell>
          <cell r="C1548">
            <v>198.2</v>
          </cell>
          <cell r="D1548" t="str">
            <v>McGough_Cal_25</v>
          </cell>
        </row>
        <row r="1549">
          <cell r="B1549">
            <v>45817</v>
          </cell>
          <cell r="C1549">
            <v>287.8</v>
          </cell>
          <cell r="D1549" t="str">
            <v>McKay_Richard_25</v>
          </cell>
        </row>
        <row r="1550">
          <cell r="B1550">
            <v>45817</v>
          </cell>
          <cell r="C1550">
            <v>193.4</v>
          </cell>
          <cell r="D1550" t="str">
            <v>McKenzie_Anta'Veon_25</v>
          </cell>
        </row>
        <row r="1551">
          <cell r="B1551">
            <v>45817</v>
          </cell>
          <cell r="C1551">
            <v>181.8</v>
          </cell>
          <cell r="D1551" t="str">
            <v>Meadors_Grant_25</v>
          </cell>
        </row>
        <row r="1552">
          <cell r="B1552">
            <v>45817</v>
          </cell>
          <cell r="C1552">
            <v>300.2</v>
          </cell>
          <cell r="D1552" t="str">
            <v>Meek_Aidan_25</v>
          </cell>
        </row>
        <row r="1553">
          <cell r="B1553">
            <v>45817</v>
          </cell>
          <cell r="C1553">
            <v>181.6</v>
          </cell>
          <cell r="D1553" t="str">
            <v>Melanson_Mike_25</v>
          </cell>
        </row>
        <row r="1554">
          <cell r="B1554">
            <v>45817</v>
          </cell>
          <cell r="C1554">
            <v>217</v>
          </cell>
          <cell r="D1554" t="str">
            <v>Moore_Oscar_25</v>
          </cell>
        </row>
        <row r="1555">
          <cell r="B1555">
            <v>45817</v>
          </cell>
          <cell r="C1555">
            <v>178.6</v>
          </cell>
          <cell r="D1555" t="str">
            <v>Mullican_Elias_25</v>
          </cell>
        </row>
        <row r="1556">
          <cell r="B1556">
            <v>45817</v>
          </cell>
          <cell r="C1556">
            <v>194</v>
          </cell>
          <cell r="D1556" t="str">
            <v>NA</v>
          </cell>
        </row>
        <row r="1557">
          <cell r="B1557">
            <v>45817</v>
          </cell>
          <cell r="C1557">
            <v>233.2</v>
          </cell>
          <cell r="D1557" t="str">
            <v>Nelson_Gavin_25</v>
          </cell>
        </row>
        <row r="1558">
          <cell r="B1558">
            <v>45817</v>
          </cell>
          <cell r="C1558">
            <v>262.39999999999998</v>
          </cell>
          <cell r="D1558" t="str">
            <v>Norris_Sammy_25</v>
          </cell>
        </row>
        <row r="1559">
          <cell r="B1559">
            <v>45817</v>
          </cell>
          <cell r="C1559">
            <v>169.4</v>
          </cell>
          <cell r="D1559" t="str">
            <v>Oliver_Jason_25</v>
          </cell>
        </row>
        <row r="1560">
          <cell r="B1560">
            <v>45817</v>
          </cell>
          <cell r="C1560">
            <v>302.60000000000002</v>
          </cell>
          <cell r="D1560" t="str">
            <v>Ortiz_Elijah_25</v>
          </cell>
        </row>
        <row r="1561">
          <cell r="B1561">
            <v>45817</v>
          </cell>
          <cell r="C1561">
            <v>228.2</v>
          </cell>
          <cell r="D1561" t="str">
            <v>Puloka_Fata_25</v>
          </cell>
        </row>
        <row r="1562">
          <cell r="B1562">
            <v>45817</v>
          </cell>
          <cell r="C1562">
            <v>183.6</v>
          </cell>
          <cell r="D1562" t="str">
            <v>Rashada_Jaden_25</v>
          </cell>
        </row>
        <row r="1563">
          <cell r="B1563">
            <v>45817</v>
          </cell>
          <cell r="C1563">
            <v>324.39999999999998</v>
          </cell>
          <cell r="D1563" t="str">
            <v>Riley_Kenndel_25</v>
          </cell>
        </row>
        <row r="1564">
          <cell r="B1564">
            <v>45817</v>
          </cell>
          <cell r="C1564">
            <v>177.4</v>
          </cell>
          <cell r="D1564" t="str">
            <v>Robinson_Jayden_25</v>
          </cell>
        </row>
        <row r="1565">
          <cell r="B1565">
            <v>45817</v>
          </cell>
          <cell r="C1565">
            <v>218.2</v>
          </cell>
          <cell r="D1565" t="str">
            <v>Rocha_Alex_25</v>
          </cell>
        </row>
        <row r="1566">
          <cell r="B1566">
            <v>45817</v>
          </cell>
          <cell r="C1566">
            <v>260.39999999999998</v>
          </cell>
          <cell r="D1566" t="str">
            <v>Ross_Kris_25</v>
          </cell>
        </row>
        <row r="1567">
          <cell r="B1567">
            <v>45817</v>
          </cell>
          <cell r="C1567">
            <v>245.4</v>
          </cell>
          <cell r="D1567" t="str">
            <v>Scott_Brennon_25</v>
          </cell>
        </row>
        <row r="1568">
          <cell r="B1568">
            <v>45817</v>
          </cell>
          <cell r="C1568">
            <v>262.2</v>
          </cell>
          <cell r="D1568" t="str">
            <v>Slater_Luke_25</v>
          </cell>
        </row>
        <row r="1569">
          <cell r="B1569">
            <v>45817</v>
          </cell>
          <cell r="C1569">
            <v>188.4</v>
          </cell>
          <cell r="D1569" t="str">
            <v>Smith_Onterrio_25</v>
          </cell>
        </row>
        <row r="1570">
          <cell r="B1570">
            <v>45817</v>
          </cell>
          <cell r="C1570">
            <v>191.2</v>
          </cell>
          <cell r="D1570" t="str">
            <v>Smith_Warren_25</v>
          </cell>
        </row>
        <row r="1571">
          <cell r="B1571">
            <v>45817</v>
          </cell>
          <cell r="C1571">
            <v>307.8</v>
          </cell>
          <cell r="D1571" t="str">
            <v>Soto_Jose_25</v>
          </cell>
        </row>
        <row r="1572">
          <cell r="B1572">
            <v>45817</v>
          </cell>
          <cell r="C1572">
            <v>308.39999999999998</v>
          </cell>
          <cell r="D1572" t="str">
            <v>Sousa_Brandon_25</v>
          </cell>
        </row>
        <row r="1573">
          <cell r="B1573">
            <v>45817</v>
          </cell>
          <cell r="C1573">
            <v>278.2</v>
          </cell>
          <cell r="D1573" t="str">
            <v>Speno_Joseph_25</v>
          </cell>
        </row>
        <row r="1574">
          <cell r="B1574">
            <v>45817</v>
          </cell>
          <cell r="C1574">
            <v>317.60000000000002</v>
          </cell>
          <cell r="D1574" t="str">
            <v>Summers_Bryson_25</v>
          </cell>
        </row>
        <row r="1575">
          <cell r="B1575">
            <v>45817</v>
          </cell>
          <cell r="C1575">
            <v>297.39999999999998</v>
          </cell>
          <cell r="D1575" t="str">
            <v>Swindle_Melvin_25</v>
          </cell>
        </row>
        <row r="1576">
          <cell r="B1576">
            <v>45817</v>
          </cell>
          <cell r="C1576">
            <v>281</v>
          </cell>
          <cell r="D1576" t="str">
            <v>Tagaloa_Brodie_25</v>
          </cell>
        </row>
        <row r="1577">
          <cell r="B1577">
            <v>45817</v>
          </cell>
          <cell r="C1577">
            <v>229.8</v>
          </cell>
          <cell r="D1577" t="str">
            <v>Tanner_Logan_25</v>
          </cell>
        </row>
        <row r="1578">
          <cell r="B1578">
            <v>45817</v>
          </cell>
          <cell r="C1578">
            <v>162.80000000000001</v>
          </cell>
          <cell r="D1578" t="str">
            <v>Taylor_Adam_25</v>
          </cell>
        </row>
        <row r="1579">
          <cell r="B1579">
            <v>45817</v>
          </cell>
          <cell r="C1579">
            <v>190</v>
          </cell>
          <cell r="D1579" t="str">
            <v>Thomson_Gavin_25</v>
          </cell>
        </row>
        <row r="1580">
          <cell r="B1580">
            <v>45817</v>
          </cell>
          <cell r="C1580">
            <v>296.39999999999998</v>
          </cell>
          <cell r="D1580" t="str">
            <v>Tullis_Malik_25</v>
          </cell>
        </row>
        <row r="1581">
          <cell r="B1581">
            <v>45817</v>
          </cell>
          <cell r="C1581">
            <v>240.4</v>
          </cell>
          <cell r="D1581" t="str">
            <v>Vi_Pita_25</v>
          </cell>
        </row>
        <row r="1582">
          <cell r="B1582">
            <v>45817</v>
          </cell>
          <cell r="C1582">
            <v>185</v>
          </cell>
          <cell r="D1582" t="str">
            <v>Williams_Cardell_25</v>
          </cell>
        </row>
        <row r="1583">
          <cell r="B1583">
            <v>45817</v>
          </cell>
          <cell r="C1583">
            <v>188</v>
          </cell>
          <cell r="D1583" t="str">
            <v>Williams_Jalen_25</v>
          </cell>
        </row>
        <row r="1584">
          <cell r="B1584">
            <v>45817</v>
          </cell>
          <cell r="C1584">
            <v>218.2</v>
          </cell>
          <cell r="D1584" t="str">
            <v>Williams_Jordan_25</v>
          </cell>
        </row>
        <row r="1585">
          <cell r="B1585">
            <v>45817</v>
          </cell>
          <cell r="C1585">
            <v>249.6</v>
          </cell>
          <cell r="D1585" t="str">
            <v>Williams_Xavier_25</v>
          </cell>
        </row>
        <row r="1586">
          <cell r="B1586">
            <v>45817</v>
          </cell>
          <cell r="C1586">
            <v>215.2</v>
          </cell>
          <cell r="D1586" t="str">
            <v>Wilson_Jace_25</v>
          </cell>
        </row>
        <row r="1587">
          <cell r="B1587">
            <v>45817</v>
          </cell>
          <cell r="C1587">
            <v>205.2</v>
          </cell>
          <cell r="D1587" t="str">
            <v>Wright_Deven_25</v>
          </cell>
        </row>
        <row r="1588">
          <cell r="B1588">
            <v>45813</v>
          </cell>
          <cell r="C1588">
            <v>294.8</v>
          </cell>
          <cell r="D1588" t="str">
            <v>Abdullah_Dean_25</v>
          </cell>
        </row>
        <row r="1589">
          <cell r="B1589">
            <v>45813</v>
          </cell>
          <cell r="C1589">
            <v>222.4</v>
          </cell>
          <cell r="D1589" t="str">
            <v>Adams_Sam_25</v>
          </cell>
        </row>
        <row r="1590">
          <cell r="B1590">
            <v>45813</v>
          </cell>
          <cell r="C1590">
            <v>190.8</v>
          </cell>
          <cell r="D1590" t="str">
            <v>Akui_Koa_25</v>
          </cell>
        </row>
        <row r="1591">
          <cell r="B1591">
            <v>45813</v>
          </cell>
          <cell r="C1591">
            <v>204.8</v>
          </cell>
          <cell r="D1591" t="str">
            <v>Anderson_Hayden_25</v>
          </cell>
        </row>
        <row r="1592">
          <cell r="B1592">
            <v>45813</v>
          </cell>
          <cell r="C1592">
            <v>173.2</v>
          </cell>
          <cell r="D1592" t="str">
            <v>Anderson_Jordan_25</v>
          </cell>
        </row>
        <row r="1593">
          <cell r="B1593">
            <v>45813</v>
          </cell>
          <cell r="C1593">
            <v>286.8</v>
          </cell>
          <cell r="D1593" t="str">
            <v>Bailey_Miles_25</v>
          </cell>
        </row>
        <row r="1594">
          <cell r="B1594">
            <v>45813</v>
          </cell>
          <cell r="C1594">
            <v>190.8</v>
          </cell>
          <cell r="D1594" t="str">
            <v>Bass_Trey_25</v>
          </cell>
        </row>
        <row r="1595">
          <cell r="B1595">
            <v>45813</v>
          </cell>
          <cell r="C1595">
            <v>217.2</v>
          </cell>
          <cell r="D1595" t="str">
            <v>Boeddeker_Hunter_25</v>
          </cell>
        </row>
        <row r="1596">
          <cell r="B1596">
            <v>45813</v>
          </cell>
          <cell r="C1596">
            <v>164.2</v>
          </cell>
          <cell r="D1596" t="str">
            <v>Bryant_Ajon_25</v>
          </cell>
        </row>
        <row r="1597">
          <cell r="B1597">
            <v>45813</v>
          </cell>
          <cell r="C1597">
            <v>232.2</v>
          </cell>
          <cell r="D1597" t="str">
            <v>Cashiola_Josh_25</v>
          </cell>
        </row>
        <row r="1598">
          <cell r="B1598">
            <v>45813</v>
          </cell>
          <cell r="C1598">
            <v>180.2</v>
          </cell>
          <cell r="D1598" t="str">
            <v>Chouteau_Lono_25</v>
          </cell>
        </row>
        <row r="1599">
          <cell r="B1599">
            <v>45813</v>
          </cell>
          <cell r="C1599">
            <v>158</v>
          </cell>
          <cell r="D1599" t="str">
            <v>Conerly_Tim_25</v>
          </cell>
        </row>
        <row r="1600">
          <cell r="B1600">
            <v>45813</v>
          </cell>
          <cell r="C1600">
            <v>170.6</v>
          </cell>
          <cell r="D1600" t="str">
            <v>Curtis_Jamar_25</v>
          </cell>
        </row>
        <row r="1601">
          <cell r="B1601">
            <v>45813</v>
          </cell>
          <cell r="C1601">
            <v>239.4</v>
          </cell>
          <cell r="D1601" t="str">
            <v>Davis_Diego_25</v>
          </cell>
        </row>
        <row r="1602">
          <cell r="B1602">
            <v>45813</v>
          </cell>
          <cell r="C1602">
            <v>198.6</v>
          </cell>
          <cell r="D1602" t="str">
            <v>Emerson_Yebrell_25</v>
          </cell>
        </row>
        <row r="1603">
          <cell r="B1603">
            <v>45813</v>
          </cell>
          <cell r="C1603">
            <v>225</v>
          </cell>
          <cell r="D1603" t="str">
            <v>Eskridge_Matthew_25</v>
          </cell>
        </row>
        <row r="1604">
          <cell r="B1604">
            <v>45813</v>
          </cell>
          <cell r="C1604">
            <v>186.2</v>
          </cell>
          <cell r="D1604" t="str">
            <v>Firebaugh_Joseph_25</v>
          </cell>
        </row>
        <row r="1605">
          <cell r="B1605">
            <v>45813</v>
          </cell>
          <cell r="C1605">
            <v>170.6</v>
          </cell>
          <cell r="D1605" t="str">
            <v>Fresques_Jaxon_25</v>
          </cell>
        </row>
        <row r="1606">
          <cell r="B1606">
            <v>45813</v>
          </cell>
          <cell r="C1606">
            <v>193</v>
          </cell>
          <cell r="D1606" t="str">
            <v>Garner_Drey_25</v>
          </cell>
        </row>
        <row r="1607">
          <cell r="B1607">
            <v>45813</v>
          </cell>
          <cell r="C1607">
            <v>317.60000000000002</v>
          </cell>
          <cell r="D1607" t="str">
            <v>Gillespie_James_25</v>
          </cell>
        </row>
        <row r="1608">
          <cell r="B1608">
            <v>45813</v>
          </cell>
          <cell r="C1608">
            <v>173.4</v>
          </cell>
          <cell r="D1608" t="str">
            <v>Gordon_Diesel_25</v>
          </cell>
        </row>
        <row r="1609">
          <cell r="B1609">
            <v>45813</v>
          </cell>
          <cell r="C1609">
            <v>294.39999999999998</v>
          </cell>
          <cell r="D1609" t="str">
            <v>Gretlein_Cade_25</v>
          </cell>
        </row>
        <row r="1610">
          <cell r="B1610">
            <v>45813</v>
          </cell>
          <cell r="C1610">
            <v>194.6</v>
          </cell>
          <cell r="D1610" t="str">
            <v>Hammond_Rodney_25</v>
          </cell>
        </row>
        <row r="1611">
          <cell r="B1611">
            <v>45813</v>
          </cell>
          <cell r="C1611">
            <v>243.6</v>
          </cell>
          <cell r="D1611" t="str">
            <v>Hampsten_Dylan_25</v>
          </cell>
        </row>
        <row r="1612">
          <cell r="B1612">
            <v>45813</v>
          </cell>
          <cell r="C1612">
            <v>293.8</v>
          </cell>
          <cell r="D1612" t="str">
            <v>Hays_Sawyer_25</v>
          </cell>
        </row>
        <row r="1613">
          <cell r="B1613">
            <v>45813</v>
          </cell>
          <cell r="C1613">
            <v>207</v>
          </cell>
          <cell r="D1613" t="str">
            <v>Henderson_Damian_25</v>
          </cell>
        </row>
        <row r="1614">
          <cell r="B1614">
            <v>45813</v>
          </cell>
          <cell r="C1614">
            <v>350.2</v>
          </cell>
          <cell r="D1614" t="str">
            <v>Herman_Jordan_25</v>
          </cell>
        </row>
        <row r="1615">
          <cell r="B1615">
            <v>45813</v>
          </cell>
          <cell r="C1615">
            <v>195.3</v>
          </cell>
          <cell r="D1615" t="str">
            <v>Higgins_Kaleb_25</v>
          </cell>
        </row>
        <row r="1616">
          <cell r="B1616">
            <v>45813</v>
          </cell>
          <cell r="C1616">
            <v>229</v>
          </cell>
          <cell r="D1616" t="str">
            <v>Houston_Derek_25</v>
          </cell>
        </row>
        <row r="1617">
          <cell r="B1617">
            <v>45813</v>
          </cell>
          <cell r="C1617">
            <v>303.39999999999998</v>
          </cell>
          <cell r="D1617" t="str">
            <v>Jefferson_Jordan_25</v>
          </cell>
        </row>
        <row r="1618">
          <cell r="B1618">
            <v>45813</v>
          </cell>
          <cell r="C1618">
            <v>200.6</v>
          </cell>
          <cell r="D1618" t="str">
            <v>Jefferson_KJ_25</v>
          </cell>
        </row>
        <row r="1619">
          <cell r="B1619">
            <v>45813</v>
          </cell>
          <cell r="C1619">
            <v>187.2</v>
          </cell>
          <cell r="D1619" t="str">
            <v>Johnson-Burrell_Lamont_25</v>
          </cell>
        </row>
        <row r="1620">
          <cell r="B1620">
            <v>45813</v>
          </cell>
          <cell r="C1620">
            <v>214.8</v>
          </cell>
          <cell r="D1620" t="str">
            <v>Johnston_Adam_25</v>
          </cell>
        </row>
        <row r="1621">
          <cell r="B1621">
            <v>45813</v>
          </cell>
          <cell r="C1621">
            <v>296.60000000000002</v>
          </cell>
          <cell r="D1621" t="str">
            <v>Kovacs_Giovanni_25</v>
          </cell>
        </row>
        <row r="1622">
          <cell r="B1622">
            <v>45813</v>
          </cell>
          <cell r="C1622">
            <v>165.4</v>
          </cell>
          <cell r="D1622" t="str">
            <v>Lee_Ricky_25</v>
          </cell>
        </row>
        <row r="1623">
          <cell r="B1623">
            <v>45813</v>
          </cell>
          <cell r="C1623">
            <v>210.2</v>
          </cell>
          <cell r="D1623" t="str">
            <v>Malone_Jamar_25</v>
          </cell>
        </row>
        <row r="1624">
          <cell r="B1624">
            <v>45813</v>
          </cell>
          <cell r="C1624">
            <v>344.6</v>
          </cell>
          <cell r="D1624" t="str">
            <v>Massey_Syncere_25</v>
          </cell>
        </row>
        <row r="1625">
          <cell r="B1625">
            <v>45813</v>
          </cell>
          <cell r="C1625">
            <v>336.7</v>
          </cell>
          <cell r="D1625" t="str">
            <v>May_Davis_25</v>
          </cell>
        </row>
        <row r="1626">
          <cell r="B1626">
            <v>45813</v>
          </cell>
          <cell r="C1626">
            <v>174.4</v>
          </cell>
          <cell r="D1626" t="str">
            <v>McDaniel_Damien_25</v>
          </cell>
        </row>
        <row r="1627">
          <cell r="B1627">
            <v>45813</v>
          </cell>
          <cell r="C1627">
            <v>187.4</v>
          </cell>
          <cell r="D1627" t="str">
            <v>McDowell_Connor_25</v>
          </cell>
        </row>
        <row r="1628">
          <cell r="B1628">
            <v>45813</v>
          </cell>
          <cell r="C1628">
            <v>280.39999999999998</v>
          </cell>
          <cell r="D1628" t="str">
            <v>McGlothen_Jayland_25</v>
          </cell>
        </row>
        <row r="1629">
          <cell r="B1629">
            <v>45813</v>
          </cell>
          <cell r="C1629">
            <v>199</v>
          </cell>
          <cell r="D1629" t="str">
            <v>McGough_Cal_25</v>
          </cell>
        </row>
        <row r="1630">
          <cell r="B1630">
            <v>45813</v>
          </cell>
          <cell r="C1630">
            <v>284.39999999999998</v>
          </cell>
          <cell r="D1630" t="str">
            <v>McKay_Richard_25</v>
          </cell>
        </row>
        <row r="1631">
          <cell r="B1631">
            <v>45813</v>
          </cell>
          <cell r="C1631">
            <v>191.6</v>
          </cell>
          <cell r="D1631" t="str">
            <v>McKenzie_Anta'Veon_25</v>
          </cell>
        </row>
        <row r="1632">
          <cell r="B1632">
            <v>45813</v>
          </cell>
          <cell r="C1632">
            <v>183.2</v>
          </cell>
          <cell r="D1632" t="str">
            <v>Meadors_Grant_25</v>
          </cell>
        </row>
        <row r="1633">
          <cell r="B1633">
            <v>45813</v>
          </cell>
          <cell r="C1633">
            <v>295.2</v>
          </cell>
          <cell r="D1633" t="str">
            <v>Meek_Aidan_25</v>
          </cell>
        </row>
        <row r="1634">
          <cell r="B1634">
            <v>45813</v>
          </cell>
          <cell r="C1634">
            <v>186.2</v>
          </cell>
          <cell r="D1634" t="str">
            <v>Melanson_Mike_25</v>
          </cell>
        </row>
        <row r="1635">
          <cell r="B1635">
            <v>45813</v>
          </cell>
          <cell r="C1635">
            <v>219</v>
          </cell>
          <cell r="D1635" t="str">
            <v>Moore_Oscar_25</v>
          </cell>
        </row>
        <row r="1636">
          <cell r="B1636">
            <v>45813</v>
          </cell>
          <cell r="C1636">
            <v>175.4</v>
          </cell>
          <cell r="D1636" t="str">
            <v>Mullican_Elias_25</v>
          </cell>
        </row>
        <row r="1637">
          <cell r="B1637">
            <v>45813</v>
          </cell>
          <cell r="C1637">
            <v>192.8</v>
          </cell>
          <cell r="D1637" t="str">
            <v>NA</v>
          </cell>
        </row>
        <row r="1638">
          <cell r="B1638">
            <v>45813</v>
          </cell>
          <cell r="C1638">
            <v>231.8</v>
          </cell>
          <cell r="D1638" t="str">
            <v>Nelson_Gavin_25</v>
          </cell>
        </row>
        <row r="1639">
          <cell r="B1639">
            <v>45813</v>
          </cell>
          <cell r="C1639">
            <v>261.2</v>
          </cell>
          <cell r="D1639" t="str">
            <v>Norris_Sammy_25</v>
          </cell>
        </row>
        <row r="1640">
          <cell r="B1640">
            <v>45813</v>
          </cell>
          <cell r="C1640">
            <v>171.2</v>
          </cell>
          <cell r="D1640" t="str">
            <v>Oliver_Jason_25</v>
          </cell>
        </row>
        <row r="1641">
          <cell r="B1641">
            <v>45813</v>
          </cell>
          <cell r="C1641">
            <v>301</v>
          </cell>
          <cell r="D1641" t="str">
            <v>Ortiz_Elijah_25</v>
          </cell>
        </row>
        <row r="1642">
          <cell r="B1642">
            <v>45813</v>
          </cell>
          <cell r="C1642">
            <v>226.6</v>
          </cell>
          <cell r="D1642" t="str">
            <v>Puloka_Fata_25</v>
          </cell>
        </row>
        <row r="1643">
          <cell r="B1643">
            <v>45813</v>
          </cell>
          <cell r="C1643">
            <v>185.4</v>
          </cell>
          <cell r="D1643" t="str">
            <v>Rashada_Jaden_25</v>
          </cell>
        </row>
        <row r="1644">
          <cell r="B1644">
            <v>45813</v>
          </cell>
          <cell r="C1644">
            <v>234</v>
          </cell>
          <cell r="D1644" t="str">
            <v>Red_Savion_25</v>
          </cell>
        </row>
        <row r="1645">
          <cell r="B1645">
            <v>45813</v>
          </cell>
          <cell r="C1645">
            <v>320.60000000000002</v>
          </cell>
          <cell r="D1645" t="str">
            <v>Riley_Kenndel_25</v>
          </cell>
        </row>
        <row r="1646">
          <cell r="B1646">
            <v>45813</v>
          </cell>
          <cell r="C1646">
            <v>176.4</v>
          </cell>
          <cell r="D1646" t="str">
            <v>Robinson_Jayden_25</v>
          </cell>
        </row>
        <row r="1647">
          <cell r="B1647">
            <v>45813</v>
          </cell>
          <cell r="C1647">
            <v>217.6</v>
          </cell>
          <cell r="D1647" t="str">
            <v>Rocha_Alex_25</v>
          </cell>
        </row>
        <row r="1648">
          <cell r="B1648">
            <v>45813</v>
          </cell>
          <cell r="C1648">
            <v>264.2</v>
          </cell>
          <cell r="D1648" t="str">
            <v>Ross_Kris_25</v>
          </cell>
        </row>
        <row r="1649">
          <cell r="B1649">
            <v>45813</v>
          </cell>
          <cell r="C1649">
            <v>242</v>
          </cell>
          <cell r="D1649" t="str">
            <v>Scott_Brennon_25</v>
          </cell>
        </row>
        <row r="1650">
          <cell r="B1650">
            <v>45813</v>
          </cell>
          <cell r="C1650">
            <v>267.60000000000002</v>
          </cell>
          <cell r="D1650" t="str">
            <v>Slater_Luke_25</v>
          </cell>
        </row>
        <row r="1651">
          <cell r="B1651">
            <v>45813</v>
          </cell>
          <cell r="C1651">
            <v>186.6</v>
          </cell>
          <cell r="D1651" t="str">
            <v>Smith_Onterrio_25</v>
          </cell>
        </row>
        <row r="1652">
          <cell r="B1652">
            <v>45813</v>
          </cell>
          <cell r="C1652">
            <v>193.6</v>
          </cell>
          <cell r="D1652" t="str">
            <v>Smith_Warren_25</v>
          </cell>
        </row>
        <row r="1653">
          <cell r="B1653">
            <v>45813</v>
          </cell>
          <cell r="C1653">
            <v>310.8</v>
          </cell>
          <cell r="D1653" t="str">
            <v>Soto_Jose_25</v>
          </cell>
        </row>
        <row r="1654">
          <cell r="B1654">
            <v>45813</v>
          </cell>
          <cell r="C1654">
            <v>303</v>
          </cell>
          <cell r="D1654" t="str">
            <v>Sousa_Brandon_25</v>
          </cell>
        </row>
        <row r="1655">
          <cell r="B1655">
            <v>45813</v>
          </cell>
          <cell r="C1655">
            <v>276.5</v>
          </cell>
          <cell r="D1655" t="str">
            <v>Speno_Joseph_25</v>
          </cell>
        </row>
        <row r="1656">
          <cell r="B1656">
            <v>45813</v>
          </cell>
          <cell r="C1656">
            <v>309.8</v>
          </cell>
          <cell r="D1656" t="str">
            <v>Summers_Bryson_25</v>
          </cell>
        </row>
        <row r="1657">
          <cell r="B1657">
            <v>45813</v>
          </cell>
          <cell r="C1657">
            <v>296.8</v>
          </cell>
          <cell r="D1657" t="str">
            <v>Swindle_Melvin_25</v>
          </cell>
        </row>
        <row r="1658">
          <cell r="B1658">
            <v>45813</v>
          </cell>
          <cell r="C1658">
            <v>278.3</v>
          </cell>
          <cell r="D1658" t="str">
            <v>Tagaloa_Brodie_25</v>
          </cell>
        </row>
        <row r="1659">
          <cell r="B1659">
            <v>45813</v>
          </cell>
          <cell r="C1659">
            <v>227.8</v>
          </cell>
          <cell r="D1659" t="str">
            <v>Tanner_Logan_25</v>
          </cell>
        </row>
        <row r="1660">
          <cell r="B1660">
            <v>45813</v>
          </cell>
          <cell r="C1660">
            <v>162.80000000000001</v>
          </cell>
          <cell r="D1660" t="str">
            <v>Taylor_Adam_25</v>
          </cell>
        </row>
        <row r="1661">
          <cell r="B1661">
            <v>45813</v>
          </cell>
          <cell r="C1661">
            <v>269</v>
          </cell>
          <cell r="D1661" t="str">
            <v>Tenney_Bear_25</v>
          </cell>
        </row>
        <row r="1662">
          <cell r="B1662">
            <v>45813</v>
          </cell>
          <cell r="C1662">
            <v>190</v>
          </cell>
          <cell r="D1662" t="str">
            <v>Thomson_Gavin_25</v>
          </cell>
        </row>
        <row r="1663">
          <cell r="B1663">
            <v>45813</v>
          </cell>
          <cell r="C1663">
            <v>292.39999999999998</v>
          </cell>
          <cell r="D1663" t="str">
            <v>Tullis_Malik_25</v>
          </cell>
        </row>
        <row r="1664">
          <cell r="B1664">
            <v>45813</v>
          </cell>
          <cell r="C1664">
            <v>234.6</v>
          </cell>
          <cell r="D1664" t="str">
            <v>Vi_Pita_25</v>
          </cell>
        </row>
        <row r="1665">
          <cell r="B1665">
            <v>45813</v>
          </cell>
          <cell r="C1665">
            <v>179.6</v>
          </cell>
          <cell r="D1665" t="str">
            <v>Williams_Cardell_25</v>
          </cell>
        </row>
        <row r="1666">
          <cell r="B1666">
            <v>45813</v>
          </cell>
          <cell r="C1666">
            <v>190.2</v>
          </cell>
          <cell r="D1666" t="str">
            <v>Williams_Jalen_25</v>
          </cell>
        </row>
        <row r="1667">
          <cell r="B1667">
            <v>45813</v>
          </cell>
          <cell r="C1667">
            <v>218.4</v>
          </cell>
          <cell r="D1667" t="str">
            <v>Williams_Jordan_25</v>
          </cell>
        </row>
        <row r="1668">
          <cell r="B1668">
            <v>45813</v>
          </cell>
          <cell r="C1668">
            <v>247.6</v>
          </cell>
          <cell r="D1668" t="str">
            <v>Williams_Xavier_25</v>
          </cell>
        </row>
        <row r="1669">
          <cell r="B1669">
            <v>45813</v>
          </cell>
          <cell r="C1669">
            <v>213.2</v>
          </cell>
          <cell r="D1669" t="str">
            <v>Wilson_Jace_25</v>
          </cell>
        </row>
        <row r="1670">
          <cell r="B1670">
            <v>45813</v>
          </cell>
          <cell r="C1670">
            <v>203.4</v>
          </cell>
          <cell r="D1670" t="str">
            <v>Wright_Deven_25</v>
          </cell>
        </row>
        <row r="1671">
          <cell r="B1671">
            <v>45811</v>
          </cell>
          <cell r="C1671">
            <v>294.77800000000002</v>
          </cell>
          <cell r="D1671" t="str">
            <v>Abdullah_Dean_25</v>
          </cell>
        </row>
        <row r="1672">
          <cell r="B1672">
            <v>45811</v>
          </cell>
          <cell r="C1672">
            <v>220.52799999999999</v>
          </cell>
          <cell r="D1672" t="str">
            <v>Adams_Sam_25</v>
          </cell>
        </row>
        <row r="1673">
          <cell r="B1673">
            <v>45811</v>
          </cell>
          <cell r="C1673">
            <v>189.2</v>
          </cell>
          <cell r="D1673" t="str">
            <v>Akui_Koa_25</v>
          </cell>
        </row>
        <row r="1674">
          <cell r="B1674">
            <v>45811</v>
          </cell>
          <cell r="C1674">
            <v>202.994</v>
          </cell>
          <cell r="D1674" t="str">
            <v>Anderson_Hayden_25</v>
          </cell>
        </row>
        <row r="1675">
          <cell r="B1675">
            <v>45811</v>
          </cell>
          <cell r="C1675">
            <v>175.054</v>
          </cell>
          <cell r="D1675" t="str">
            <v>Anderson_Jordan_25</v>
          </cell>
        </row>
        <row r="1676">
          <cell r="B1676">
            <v>45811</v>
          </cell>
          <cell r="C1676">
            <v>206.316</v>
          </cell>
          <cell r="D1676" t="str">
            <v>Atkinson_Jordan_25</v>
          </cell>
        </row>
        <row r="1677">
          <cell r="B1677">
            <v>45811</v>
          </cell>
          <cell r="C1677">
            <v>284.548</v>
          </cell>
          <cell r="D1677" t="str">
            <v>Bailey_Miles_25</v>
          </cell>
        </row>
        <row r="1678">
          <cell r="B1678">
            <v>45811</v>
          </cell>
          <cell r="C1678">
            <v>192.61</v>
          </cell>
          <cell r="D1678" t="str">
            <v>Bass_Trey_25</v>
          </cell>
        </row>
        <row r="1679">
          <cell r="B1679">
            <v>45811</v>
          </cell>
          <cell r="C1679">
            <v>216.898</v>
          </cell>
          <cell r="D1679" t="str">
            <v>Boeddeker_Hunter_25</v>
          </cell>
        </row>
        <row r="1680">
          <cell r="B1680">
            <v>45811</v>
          </cell>
          <cell r="C1680">
            <v>190</v>
          </cell>
          <cell r="D1680" t="str">
            <v>Borders_Curron_25</v>
          </cell>
        </row>
        <row r="1681">
          <cell r="B1681">
            <v>45811</v>
          </cell>
          <cell r="C1681">
            <v>160.46799999999999</v>
          </cell>
          <cell r="D1681" t="str">
            <v>Bryant_Ajon_25</v>
          </cell>
        </row>
        <row r="1682">
          <cell r="B1682">
            <v>45811</v>
          </cell>
          <cell r="C1682">
            <v>191.09200000000001</v>
          </cell>
          <cell r="D1682" t="str">
            <v>Butler_Dejuan_25</v>
          </cell>
        </row>
        <row r="1683">
          <cell r="B1683">
            <v>45811</v>
          </cell>
          <cell r="C1683">
            <v>227.06200000000001</v>
          </cell>
          <cell r="D1683" t="str">
            <v>Cashiola_Josh_25</v>
          </cell>
        </row>
        <row r="1684">
          <cell r="B1684">
            <v>45811</v>
          </cell>
          <cell r="C1684">
            <v>157.696</v>
          </cell>
          <cell r="D1684" t="str">
            <v>Conerly_Tim_25</v>
          </cell>
        </row>
        <row r="1685">
          <cell r="B1685">
            <v>45811</v>
          </cell>
          <cell r="C1685">
            <v>171.49</v>
          </cell>
          <cell r="D1685" t="str">
            <v>Curtis_Jamar_25</v>
          </cell>
        </row>
        <row r="1686">
          <cell r="B1686">
            <v>45811</v>
          </cell>
          <cell r="C1686">
            <v>241.16399999999999</v>
          </cell>
          <cell r="D1686" t="str">
            <v>Davis_Diego_25</v>
          </cell>
        </row>
        <row r="1687">
          <cell r="B1687">
            <v>45811</v>
          </cell>
          <cell r="C1687">
            <v>198.44</v>
          </cell>
          <cell r="D1687" t="str">
            <v>Emerson_Yebrell_25</v>
          </cell>
        </row>
        <row r="1688">
          <cell r="B1688">
            <v>45811</v>
          </cell>
          <cell r="C1688">
            <v>222.77199999999999</v>
          </cell>
          <cell r="D1688" t="str">
            <v>Eskridge_Matthew_25</v>
          </cell>
        </row>
        <row r="1689">
          <cell r="B1689">
            <v>45811</v>
          </cell>
          <cell r="C1689">
            <v>183.34800000000001</v>
          </cell>
          <cell r="D1689" t="str">
            <v>Firebaugh_Joseph_25</v>
          </cell>
        </row>
        <row r="1690">
          <cell r="B1690">
            <v>45811</v>
          </cell>
          <cell r="C1690">
            <v>170.98400000000001</v>
          </cell>
          <cell r="D1690" t="str">
            <v>Fresques_Jaxon_25</v>
          </cell>
        </row>
        <row r="1691">
          <cell r="B1691">
            <v>45811</v>
          </cell>
          <cell r="C1691">
            <v>191.202</v>
          </cell>
          <cell r="D1691" t="str">
            <v>Garner_Drey_25</v>
          </cell>
        </row>
        <row r="1692">
          <cell r="B1692">
            <v>45811</v>
          </cell>
          <cell r="C1692">
            <v>317.87799999999999</v>
          </cell>
          <cell r="D1692" t="str">
            <v>Gillespie_James_25</v>
          </cell>
        </row>
        <row r="1693">
          <cell r="B1693">
            <v>45811</v>
          </cell>
          <cell r="C1693">
            <v>173.66800000000001</v>
          </cell>
          <cell r="D1693" t="str">
            <v>Gordon_Diesel_25</v>
          </cell>
        </row>
        <row r="1694">
          <cell r="B1694">
            <v>45811</v>
          </cell>
          <cell r="C1694">
            <v>293.14999999999998</v>
          </cell>
          <cell r="D1694" t="str">
            <v>Gretlein_Cade_25</v>
          </cell>
        </row>
        <row r="1695">
          <cell r="B1695">
            <v>45811</v>
          </cell>
          <cell r="C1695">
            <v>197.16399999999999</v>
          </cell>
          <cell r="D1695" t="str">
            <v>Hammond_Rodney_25</v>
          </cell>
        </row>
        <row r="1696">
          <cell r="B1696">
            <v>45811</v>
          </cell>
          <cell r="C1696">
            <v>243.21</v>
          </cell>
          <cell r="D1696" t="str">
            <v>Hampsten_Dylan_25</v>
          </cell>
        </row>
        <row r="1697">
          <cell r="B1697">
            <v>45811</v>
          </cell>
          <cell r="C1697">
            <v>294.62400000000002</v>
          </cell>
          <cell r="D1697" t="str">
            <v>Hays_Sawyer_25</v>
          </cell>
        </row>
        <row r="1698">
          <cell r="B1698">
            <v>45811</v>
          </cell>
          <cell r="C1698">
            <v>208.82400000000001</v>
          </cell>
          <cell r="D1698" t="str">
            <v>Henderson_Damian_25</v>
          </cell>
        </row>
        <row r="1699">
          <cell r="B1699">
            <v>45811</v>
          </cell>
          <cell r="C1699">
            <v>195.404</v>
          </cell>
          <cell r="D1699" t="str">
            <v>Higgins_Kaleb_25</v>
          </cell>
        </row>
        <row r="1700">
          <cell r="B1700">
            <v>45811</v>
          </cell>
          <cell r="C1700">
            <v>230.6</v>
          </cell>
          <cell r="D1700" t="str">
            <v>Houston_Derek_25</v>
          </cell>
        </row>
        <row r="1701">
          <cell r="B1701">
            <v>45811</v>
          </cell>
          <cell r="C1701">
            <v>210.84800000000001</v>
          </cell>
          <cell r="D1701" t="str">
            <v>Huddle_Elijah_25</v>
          </cell>
        </row>
        <row r="1702">
          <cell r="B1702">
            <v>45811</v>
          </cell>
          <cell r="C1702">
            <v>303.84199999999998</v>
          </cell>
          <cell r="D1702" t="str">
            <v>Jefferson_Jordan_25</v>
          </cell>
        </row>
        <row r="1703">
          <cell r="B1703">
            <v>45811</v>
          </cell>
          <cell r="C1703">
            <v>198.66</v>
          </cell>
          <cell r="D1703" t="str">
            <v>Jefferson_KJ_25</v>
          </cell>
        </row>
        <row r="1704">
          <cell r="B1704">
            <v>45811</v>
          </cell>
          <cell r="C1704">
            <v>185.94399999999999</v>
          </cell>
          <cell r="D1704" t="str">
            <v>Johnson-Burrell_Lamont_25</v>
          </cell>
        </row>
        <row r="1705">
          <cell r="B1705">
            <v>45811</v>
          </cell>
          <cell r="C1705">
            <v>212.322</v>
          </cell>
          <cell r="D1705" t="str">
            <v>Johnston_Adam_25</v>
          </cell>
        </row>
        <row r="1706">
          <cell r="B1706">
            <v>45811</v>
          </cell>
          <cell r="C1706">
            <v>295.89999999999998</v>
          </cell>
          <cell r="D1706" t="str">
            <v>Kovacs_Giovanni_25</v>
          </cell>
        </row>
        <row r="1707">
          <cell r="B1707">
            <v>45811</v>
          </cell>
          <cell r="C1707">
            <v>162.822</v>
          </cell>
          <cell r="D1707" t="str">
            <v>Lee_Ricky_25</v>
          </cell>
        </row>
        <row r="1708">
          <cell r="B1708">
            <v>45811</v>
          </cell>
          <cell r="C1708">
            <v>210.738</v>
          </cell>
          <cell r="D1708" t="str">
            <v>Malone_Jamar_25</v>
          </cell>
        </row>
        <row r="1709">
          <cell r="B1709">
            <v>45811</v>
          </cell>
          <cell r="C1709">
            <v>343.6</v>
          </cell>
          <cell r="D1709" t="str">
            <v>Massey_Syncere_25</v>
          </cell>
        </row>
        <row r="1710">
          <cell r="B1710">
            <v>45811</v>
          </cell>
          <cell r="C1710">
            <v>340.58199999999999</v>
          </cell>
          <cell r="D1710" t="str">
            <v>May_Davis_25</v>
          </cell>
        </row>
        <row r="1711">
          <cell r="B1711">
            <v>45811</v>
          </cell>
          <cell r="C1711">
            <v>176.88</v>
          </cell>
          <cell r="D1711" t="str">
            <v>McDaniel_Damien_25</v>
          </cell>
        </row>
        <row r="1712">
          <cell r="B1712">
            <v>45811</v>
          </cell>
          <cell r="C1712">
            <v>185.43799999999999</v>
          </cell>
          <cell r="D1712" t="str">
            <v>McDowell_Connor_25</v>
          </cell>
        </row>
        <row r="1713">
          <cell r="B1713">
            <v>45811</v>
          </cell>
          <cell r="C1713">
            <v>278.87200000000001</v>
          </cell>
          <cell r="D1713" t="str">
            <v>McGlothen_Jayland_25</v>
          </cell>
        </row>
        <row r="1714">
          <cell r="B1714">
            <v>45811</v>
          </cell>
          <cell r="C1714">
            <v>197.53800000000001</v>
          </cell>
          <cell r="D1714" t="str">
            <v>McGough_Cal_25</v>
          </cell>
        </row>
        <row r="1715">
          <cell r="B1715">
            <v>45811</v>
          </cell>
          <cell r="C1715">
            <v>283.18400000000003</v>
          </cell>
          <cell r="D1715" t="str">
            <v>McKay_Richard_25</v>
          </cell>
        </row>
        <row r="1716">
          <cell r="B1716">
            <v>45811</v>
          </cell>
          <cell r="C1716">
            <v>190.43199999999999</v>
          </cell>
          <cell r="D1716" t="str">
            <v>McKenzie_Anta'Veon_25</v>
          </cell>
        </row>
        <row r="1717">
          <cell r="B1717">
            <v>45811</v>
          </cell>
          <cell r="C1717">
            <v>184.05199999999999</v>
          </cell>
          <cell r="D1717" t="str">
            <v>Meadors_Grant_25</v>
          </cell>
        </row>
        <row r="1718">
          <cell r="B1718">
            <v>45811</v>
          </cell>
          <cell r="C1718">
            <v>294.62400000000002</v>
          </cell>
          <cell r="D1718" t="str">
            <v>Meek_Aidan_25</v>
          </cell>
        </row>
        <row r="1719">
          <cell r="B1719">
            <v>45811</v>
          </cell>
          <cell r="C1719">
            <v>187.6</v>
          </cell>
          <cell r="D1719" t="str">
            <v>Melanson_Mike_25</v>
          </cell>
        </row>
        <row r="1720">
          <cell r="B1720">
            <v>45811</v>
          </cell>
          <cell r="C1720">
            <v>220.066</v>
          </cell>
          <cell r="D1720" t="str">
            <v>Moore_Oscar_25</v>
          </cell>
        </row>
        <row r="1721">
          <cell r="B1721">
            <v>45811</v>
          </cell>
          <cell r="C1721">
            <v>176.41800000000001</v>
          </cell>
          <cell r="D1721" t="str">
            <v>Mullican_Elias_25</v>
          </cell>
        </row>
        <row r="1722">
          <cell r="B1722">
            <v>45811</v>
          </cell>
          <cell r="C1722">
            <v>188.518</v>
          </cell>
          <cell r="D1722" t="str">
            <v>NA</v>
          </cell>
        </row>
        <row r="1723">
          <cell r="B1723">
            <v>45811</v>
          </cell>
          <cell r="C1723">
            <v>232.166</v>
          </cell>
          <cell r="D1723" t="str">
            <v>Nelson_Gavin_25</v>
          </cell>
        </row>
        <row r="1724">
          <cell r="B1724">
            <v>45811</v>
          </cell>
          <cell r="C1724">
            <v>262.02</v>
          </cell>
          <cell r="D1724" t="str">
            <v>Norris_Sammy_25</v>
          </cell>
        </row>
        <row r="1725">
          <cell r="B1725">
            <v>45811</v>
          </cell>
          <cell r="C1725">
            <v>173.47</v>
          </cell>
          <cell r="D1725" t="str">
            <v>Oliver_Jason_25</v>
          </cell>
        </row>
        <row r="1726">
          <cell r="B1726">
            <v>45811</v>
          </cell>
          <cell r="C1726">
            <v>302.83</v>
          </cell>
          <cell r="D1726" t="str">
            <v>Ortiz_Elijah_25</v>
          </cell>
        </row>
        <row r="1727">
          <cell r="B1727">
            <v>45811</v>
          </cell>
          <cell r="C1727">
            <v>167.22200000000001</v>
          </cell>
          <cell r="D1727" t="str">
            <v>Patton_Alex_24</v>
          </cell>
        </row>
        <row r="1728">
          <cell r="B1728">
            <v>45811</v>
          </cell>
          <cell r="C1728">
            <v>224.334</v>
          </cell>
          <cell r="D1728" t="str">
            <v>Puloka_Fata_25</v>
          </cell>
        </row>
        <row r="1729">
          <cell r="B1729">
            <v>45811</v>
          </cell>
          <cell r="C1729">
            <v>182.952</v>
          </cell>
          <cell r="D1729" t="str">
            <v>Rashada_Jaden_25</v>
          </cell>
        </row>
        <row r="1730">
          <cell r="B1730">
            <v>45811</v>
          </cell>
          <cell r="C1730">
            <v>236.4</v>
          </cell>
          <cell r="D1730" t="str">
            <v>Red_Savion_25</v>
          </cell>
        </row>
        <row r="1731">
          <cell r="B1731">
            <v>45811</v>
          </cell>
          <cell r="C1731">
            <v>324.85199999999998</v>
          </cell>
          <cell r="D1731" t="str">
            <v>Riley_Kenndel_25</v>
          </cell>
        </row>
        <row r="1732">
          <cell r="B1732">
            <v>45811</v>
          </cell>
          <cell r="C1732">
            <v>174.834</v>
          </cell>
          <cell r="D1732" t="str">
            <v>Robinson_Jayden_25</v>
          </cell>
        </row>
        <row r="1733">
          <cell r="B1733">
            <v>45811</v>
          </cell>
          <cell r="C1733">
            <v>217.88800000000001</v>
          </cell>
          <cell r="D1733" t="str">
            <v>Rocha_Alex_25</v>
          </cell>
        </row>
        <row r="1734">
          <cell r="B1734">
            <v>45811</v>
          </cell>
          <cell r="C1734">
            <v>263.39999999999998</v>
          </cell>
          <cell r="D1734" t="str">
            <v>Ross_Kris_25</v>
          </cell>
        </row>
        <row r="1735">
          <cell r="B1735">
            <v>45811</v>
          </cell>
          <cell r="C1735">
            <v>241.31800000000001</v>
          </cell>
          <cell r="D1735" t="str">
            <v>Scott_Brennon_25</v>
          </cell>
        </row>
        <row r="1736">
          <cell r="B1736">
            <v>45811</v>
          </cell>
          <cell r="C1736">
            <v>266.70600000000002</v>
          </cell>
          <cell r="D1736" t="str">
            <v>Slater_Luke_25</v>
          </cell>
        </row>
        <row r="1737">
          <cell r="B1737">
            <v>45811</v>
          </cell>
          <cell r="C1737">
            <v>187.352</v>
          </cell>
          <cell r="D1737" t="str">
            <v>Smith_Onterrio_25</v>
          </cell>
        </row>
        <row r="1738">
          <cell r="B1738">
            <v>45811</v>
          </cell>
          <cell r="C1738">
            <v>190.19</v>
          </cell>
          <cell r="D1738" t="str">
            <v>Smith_Warren_25</v>
          </cell>
        </row>
        <row r="1739">
          <cell r="B1739">
            <v>45811</v>
          </cell>
          <cell r="C1739">
            <v>309.36399999999998</v>
          </cell>
          <cell r="D1739" t="str">
            <v>Soto_Jose_25</v>
          </cell>
        </row>
        <row r="1740">
          <cell r="B1740">
            <v>45811</v>
          </cell>
          <cell r="C1740">
            <v>305.11799999999999</v>
          </cell>
          <cell r="D1740" t="str">
            <v>Sousa_Brandon_25</v>
          </cell>
        </row>
        <row r="1741">
          <cell r="B1741">
            <v>45811</v>
          </cell>
          <cell r="C1741">
            <v>277.2</v>
          </cell>
          <cell r="D1741" t="str">
            <v>Speno_Joseph_25</v>
          </cell>
        </row>
        <row r="1742">
          <cell r="B1742">
            <v>45811</v>
          </cell>
          <cell r="C1742">
            <v>311.71800000000002</v>
          </cell>
          <cell r="D1742" t="str">
            <v>Summers_Bryson_25</v>
          </cell>
        </row>
        <row r="1743">
          <cell r="B1743">
            <v>45811</v>
          </cell>
          <cell r="C1743">
            <v>298.56200000000001</v>
          </cell>
          <cell r="D1743" t="str">
            <v>Swindle_Melvin_25</v>
          </cell>
        </row>
        <row r="1744">
          <cell r="B1744">
            <v>45811</v>
          </cell>
          <cell r="C1744">
            <v>280</v>
          </cell>
          <cell r="D1744" t="str">
            <v>Tagaloa_Brodie_25</v>
          </cell>
        </row>
        <row r="1745">
          <cell r="B1745">
            <v>45811</v>
          </cell>
          <cell r="C1745">
            <v>230</v>
          </cell>
          <cell r="D1745" t="str">
            <v>Tanner_Logan_25</v>
          </cell>
        </row>
        <row r="1746">
          <cell r="B1746">
            <v>45811</v>
          </cell>
          <cell r="C1746">
            <v>162.73400000000001</v>
          </cell>
          <cell r="D1746" t="str">
            <v>Taylor_Adam_25</v>
          </cell>
        </row>
        <row r="1747">
          <cell r="B1747">
            <v>45811</v>
          </cell>
          <cell r="C1747">
            <v>268.488</v>
          </cell>
          <cell r="D1747" t="str">
            <v>Tenney_Bear_25</v>
          </cell>
        </row>
        <row r="1748">
          <cell r="B1748">
            <v>45811</v>
          </cell>
          <cell r="C1748">
            <v>191.75200000000001</v>
          </cell>
          <cell r="D1748" t="str">
            <v>Thomson_Gavin_25</v>
          </cell>
        </row>
        <row r="1749">
          <cell r="B1749">
            <v>45811</v>
          </cell>
          <cell r="C1749">
            <v>292.60000000000002</v>
          </cell>
          <cell r="D1749" t="str">
            <v>Tullis_Malik_25</v>
          </cell>
        </row>
        <row r="1750">
          <cell r="B1750">
            <v>45811</v>
          </cell>
          <cell r="C1750">
            <v>235.66399999999999</v>
          </cell>
          <cell r="D1750" t="str">
            <v>Vi_Pita_25</v>
          </cell>
        </row>
        <row r="1751">
          <cell r="B1751">
            <v>45811</v>
          </cell>
          <cell r="C1751">
            <v>317.08600000000001</v>
          </cell>
          <cell r="D1751" t="str">
            <v>Watts_DeSean_25</v>
          </cell>
        </row>
        <row r="1752">
          <cell r="B1752">
            <v>45811</v>
          </cell>
          <cell r="C1752">
            <v>178.72800000000001</v>
          </cell>
          <cell r="D1752" t="str">
            <v>Williams_Cardell_25</v>
          </cell>
        </row>
        <row r="1753">
          <cell r="B1753">
            <v>45811</v>
          </cell>
          <cell r="C1753">
            <v>162.822</v>
          </cell>
          <cell r="D1753" t="str">
            <v>Williams_Jalen_25</v>
          </cell>
        </row>
        <row r="1754">
          <cell r="B1754">
            <v>45811</v>
          </cell>
          <cell r="C1754">
            <v>220.4</v>
          </cell>
          <cell r="D1754" t="str">
            <v>Williams_Jordan_25</v>
          </cell>
        </row>
        <row r="1755">
          <cell r="B1755">
            <v>45811</v>
          </cell>
          <cell r="C1755">
            <v>249.65600000000001</v>
          </cell>
          <cell r="D1755" t="str">
            <v>Williams_Xavier_25</v>
          </cell>
        </row>
        <row r="1756">
          <cell r="B1756">
            <v>45811</v>
          </cell>
          <cell r="C1756">
            <v>195.404</v>
          </cell>
          <cell r="D1756" t="str">
            <v>Wilson_Jace_25</v>
          </cell>
        </row>
        <row r="1757">
          <cell r="B1757">
            <v>45811</v>
          </cell>
          <cell r="C1757">
            <v>207.21799999999999</v>
          </cell>
          <cell r="D1757" t="str">
            <v>Wright_Deven_25</v>
          </cell>
        </row>
        <row r="1758">
          <cell r="B1758">
            <v>45810</v>
          </cell>
          <cell r="C1758">
            <v>296.60000000000002</v>
          </cell>
          <cell r="D1758" t="str">
            <v>Abdullah_Dean_25</v>
          </cell>
        </row>
        <row r="1759">
          <cell r="B1759">
            <v>45810</v>
          </cell>
          <cell r="C1759">
            <v>223.4</v>
          </cell>
          <cell r="D1759" t="str">
            <v>Adams_Sam_25</v>
          </cell>
        </row>
        <row r="1760">
          <cell r="B1760">
            <v>45810</v>
          </cell>
          <cell r="C1760">
            <v>190</v>
          </cell>
          <cell r="D1760" t="str">
            <v>Akui_Koa_25</v>
          </cell>
        </row>
        <row r="1761">
          <cell r="B1761">
            <v>45810</v>
          </cell>
          <cell r="C1761">
            <v>204.6</v>
          </cell>
          <cell r="D1761" t="str">
            <v>Anderson_Hayden_25</v>
          </cell>
        </row>
        <row r="1762">
          <cell r="B1762">
            <v>45810</v>
          </cell>
          <cell r="C1762">
            <v>173.2</v>
          </cell>
          <cell r="D1762" t="str">
            <v>Anderson_Jordan_25</v>
          </cell>
        </row>
        <row r="1763">
          <cell r="B1763">
            <v>45810</v>
          </cell>
          <cell r="C1763">
            <v>286.60000000000002</v>
          </cell>
          <cell r="D1763" t="str">
            <v>Bailey_Miles_25</v>
          </cell>
        </row>
        <row r="1764">
          <cell r="B1764">
            <v>45810</v>
          </cell>
          <cell r="C1764">
            <v>189.2</v>
          </cell>
          <cell r="D1764" t="str">
            <v>Bass_Trey_25</v>
          </cell>
        </row>
        <row r="1765">
          <cell r="B1765">
            <v>45810</v>
          </cell>
          <cell r="C1765">
            <v>217.6</v>
          </cell>
          <cell r="D1765" t="str">
            <v>Boeddeker_Hunter_25</v>
          </cell>
        </row>
        <row r="1766">
          <cell r="B1766">
            <v>45810</v>
          </cell>
          <cell r="C1766">
            <v>162.80000000000001</v>
          </cell>
          <cell r="D1766" t="str">
            <v>Bryant_Ajon_25</v>
          </cell>
        </row>
        <row r="1767">
          <cell r="B1767">
            <v>45810</v>
          </cell>
          <cell r="C1767">
            <v>231.4</v>
          </cell>
          <cell r="D1767" t="str">
            <v>Cashiola_Josh_25</v>
          </cell>
        </row>
        <row r="1768">
          <cell r="B1768">
            <v>45810</v>
          </cell>
          <cell r="C1768">
            <v>176.6</v>
          </cell>
          <cell r="D1768" t="str">
            <v>Chouteau_Lono_25</v>
          </cell>
        </row>
        <row r="1769">
          <cell r="B1769">
            <v>45810</v>
          </cell>
          <cell r="C1769">
            <v>162.19999999999999</v>
          </cell>
          <cell r="D1769" t="str">
            <v>Conerly_Tim_25</v>
          </cell>
        </row>
        <row r="1770">
          <cell r="B1770">
            <v>45810</v>
          </cell>
          <cell r="C1770">
            <v>173</v>
          </cell>
          <cell r="D1770" t="str">
            <v>Curtis_Jamar_25</v>
          </cell>
        </row>
        <row r="1771">
          <cell r="B1771">
            <v>45810</v>
          </cell>
          <cell r="C1771">
            <v>240.2</v>
          </cell>
          <cell r="D1771" t="str">
            <v>Davis_Diego_25</v>
          </cell>
        </row>
        <row r="1772">
          <cell r="B1772">
            <v>45810</v>
          </cell>
          <cell r="C1772">
            <v>196.6</v>
          </cell>
          <cell r="D1772" t="str">
            <v>Emerson_Yebrell_25</v>
          </cell>
        </row>
        <row r="1773">
          <cell r="B1773">
            <v>45810</v>
          </cell>
          <cell r="C1773">
            <v>225.2</v>
          </cell>
          <cell r="D1773" t="str">
            <v>Eskridge_Matthew_25</v>
          </cell>
        </row>
        <row r="1774">
          <cell r="B1774">
            <v>45810</v>
          </cell>
          <cell r="C1774">
            <v>186</v>
          </cell>
          <cell r="D1774" t="str">
            <v>Firebaugh_Joseph_25</v>
          </cell>
        </row>
        <row r="1775">
          <cell r="B1775">
            <v>45810</v>
          </cell>
          <cell r="C1775">
            <v>169.2</v>
          </cell>
          <cell r="D1775" t="str">
            <v>Fresques_Jaxon_25</v>
          </cell>
        </row>
        <row r="1776">
          <cell r="B1776">
            <v>45810</v>
          </cell>
          <cell r="C1776">
            <v>188.8</v>
          </cell>
          <cell r="D1776" t="str">
            <v>Garner_Drey_25</v>
          </cell>
        </row>
        <row r="1777">
          <cell r="B1777">
            <v>45810</v>
          </cell>
          <cell r="C1777">
            <v>320.2</v>
          </cell>
          <cell r="D1777" t="str">
            <v>Gillespie_James_25</v>
          </cell>
        </row>
        <row r="1778">
          <cell r="B1778">
            <v>45810</v>
          </cell>
          <cell r="C1778">
            <v>176.4</v>
          </cell>
          <cell r="D1778" t="str">
            <v>Gordon_Diesel_25</v>
          </cell>
        </row>
        <row r="1779">
          <cell r="B1779">
            <v>45810</v>
          </cell>
          <cell r="C1779">
            <v>295</v>
          </cell>
          <cell r="D1779" t="str">
            <v>Gretlein_Cade_25</v>
          </cell>
        </row>
        <row r="1780">
          <cell r="B1780">
            <v>45810</v>
          </cell>
          <cell r="C1780">
            <v>193.8</v>
          </cell>
          <cell r="D1780" t="str">
            <v>Hammond_Rodney_25</v>
          </cell>
        </row>
        <row r="1781">
          <cell r="B1781">
            <v>45810</v>
          </cell>
          <cell r="C1781">
            <v>244.4</v>
          </cell>
          <cell r="D1781" t="str">
            <v>Hampsten_Dylan_25</v>
          </cell>
        </row>
        <row r="1782">
          <cell r="B1782">
            <v>45810</v>
          </cell>
          <cell r="C1782">
            <v>295.8</v>
          </cell>
          <cell r="D1782" t="str">
            <v>Hays_Sawyer_25</v>
          </cell>
        </row>
        <row r="1783">
          <cell r="B1783">
            <v>45810</v>
          </cell>
          <cell r="C1783">
            <v>207.8</v>
          </cell>
          <cell r="D1783" t="str">
            <v>Henderson_Damian_25</v>
          </cell>
        </row>
        <row r="1784">
          <cell r="B1784">
            <v>45810</v>
          </cell>
          <cell r="C1784">
            <v>353.4</v>
          </cell>
          <cell r="D1784" t="str">
            <v>Herman_Jordan_25</v>
          </cell>
        </row>
        <row r="1785">
          <cell r="B1785">
            <v>45810</v>
          </cell>
          <cell r="C1785">
            <v>200.8</v>
          </cell>
          <cell r="D1785" t="str">
            <v>Higgins_Kaleb_25</v>
          </cell>
        </row>
        <row r="1786">
          <cell r="B1786">
            <v>45810</v>
          </cell>
          <cell r="C1786">
            <v>230.8</v>
          </cell>
          <cell r="D1786" t="str">
            <v>Houston_Derek_25</v>
          </cell>
        </row>
        <row r="1787">
          <cell r="B1787">
            <v>45810</v>
          </cell>
          <cell r="C1787">
            <v>212.2</v>
          </cell>
          <cell r="D1787" t="str">
            <v>Huddle_Elijah_25</v>
          </cell>
        </row>
        <row r="1788">
          <cell r="B1788">
            <v>45810</v>
          </cell>
          <cell r="C1788">
            <v>306.60000000000002</v>
          </cell>
          <cell r="D1788" t="str">
            <v>Jefferson_Jordan_25</v>
          </cell>
        </row>
        <row r="1789">
          <cell r="B1789">
            <v>45810</v>
          </cell>
          <cell r="C1789">
            <v>199.8</v>
          </cell>
          <cell r="D1789" t="str">
            <v>Jefferson_KJ_25</v>
          </cell>
        </row>
        <row r="1790">
          <cell r="B1790">
            <v>45810</v>
          </cell>
          <cell r="C1790">
            <v>186</v>
          </cell>
          <cell r="D1790" t="str">
            <v>Johnson-Burrell_Lamont_25</v>
          </cell>
        </row>
        <row r="1791">
          <cell r="B1791">
            <v>45810</v>
          </cell>
          <cell r="C1791">
            <v>210.6</v>
          </cell>
          <cell r="D1791" t="str">
            <v>Johnston_Adam_25</v>
          </cell>
        </row>
        <row r="1792">
          <cell r="B1792">
            <v>45810</v>
          </cell>
          <cell r="C1792">
            <v>292.8</v>
          </cell>
          <cell r="D1792" t="str">
            <v>Kovacs_Giovanni_25</v>
          </cell>
        </row>
        <row r="1793">
          <cell r="B1793">
            <v>45810</v>
          </cell>
          <cell r="C1793">
            <v>162.19999999999999</v>
          </cell>
          <cell r="D1793" t="str">
            <v>Lee_Ricky_25</v>
          </cell>
        </row>
        <row r="1794">
          <cell r="B1794">
            <v>45810</v>
          </cell>
          <cell r="C1794">
            <v>211.2</v>
          </cell>
          <cell r="D1794" t="str">
            <v>Malone_Jamar_25</v>
          </cell>
        </row>
        <row r="1795">
          <cell r="B1795">
            <v>45810</v>
          </cell>
          <cell r="C1795">
            <v>344.8</v>
          </cell>
          <cell r="D1795" t="str">
            <v>Massey_Syncere_25</v>
          </cell>
        </row>
        <row r="1796">
          <cell r="B1796">
            <v>45810</v>
          </cell>
          <cell r="C1796">
            <v>338.2</v>
          </cell>
          <cell r="D1796" t="str">
            <v>May_Davis_25</v>
          </cell>
        </row>
        <row r="1797">
          <cell r="B1797">
            <v>45810</v>
          </cell>
          <cell r="C1797">
            <v>176.8</v>
          </cell>
          <cell r="D1797" t="str">
            <v>McDaniel_Damien_25</v>
          </cell>
        </row>
        <row r="1798">
          <cell r="B1798">
            <v>45810</v>
          </cell>
          <cell r="C1798">
            <v>184</v>
          </cell>
          <cell r="D1798" t="str">
            <v>McDowell_Connor_25</v>
          </cell>
        </row>
        <row r="1799">
          <cell r="B1799">
            <v>45810</v>
          </cell>
          <cell r="C1799">
            <v>282.60000000000002</v>
          </cell>
          <cell r="D1799" t="str">
            <v>McGlothen_Jayland_25</v>
          </cell>
        </row>
        <row r="1800">
          <cell r="B1800">
            <v>45810</v>
          </cell>
          <cell r="C1800">
            <v>195.2</v>
          </cell>
          <cell r="D1800" t="str">
            <v>McGough_Cal_25</v>
          </cell>
        </row>
        <row r="1801">
          <cell r="B1801">
            <v>45810</v>
          </cell>
          <cell r="C1801">
            <v>282.60000000000002</v>
          </cell>
          <cell r="D1801" t="str">
            <v>McKay_Richard_25</v>
          </cell>
        </row>
        <row r="1802">
          <cell r="B1802">
            <v>45810</v>
          </cell>
          <cell r="C1802">
            <v>191.6</v>
          </cell>
          <cell r="D1802" t="str">
            <v>McKenzie_Anta'Veon_25</v>
          </cell>
        </row>
        <row r="1803">
          <cell r="B1803">
            <v>45810</v>
          </cell>
          <cell r="C1803">
            <v>183.4</v>
          </cell>
          <cell r="D1803" t="str">
            <v>Meadors_Grant_25</v>
          </cell>
        </row>
        <row r="1804">
          <cell r="B1804">
            <v>45810</v>
          </cell>
          <cell r="C1804">
            <v>296.60000000000002</v>
          </cell>
          <cell r="D1804" t="str">
            <v>Meek_Aidan_25</v>
          </cell>
        </row>
        <row r="1805">
          <cell r="B1805">
            <v>45810</v>
          </cell>
          <cell r="C1805">
            <v>186.2</v>
          </cell>
          <cell r="D1805" t="str">
            <v>Melanson_Mike_25</v>
          </cell>
        </row>
        <row r="1806">
          <cell r="B1806">
            <v>45810</v>
          </cell>
          <cell r="C1806">
            <v>219.6</v>
          </cell>
          <cell r="D1806" t="str">
            <v>Moore_Oscar_25</v>
          </cell>
        </row>
        <row r="1807">
          <cell r="B1807">
            <v>45810</v>
          </cell>
          <cell r="C1807">
            <v>177.4</v>
          </cell>
          <cell r="D1807" t="str">
            <v>Mullican_Elias_25</v>
          </cell>
        </row>
        <row r="1808">
          <cell r="B1808">
            <v>45810</v>
          </cell>
          <cell r="C1808">
            <v>192.2</v>
          </cell>
          <cell r="D1808" t="str">
            <v>NA</v>
          </cell>
        </row>
        <row r="1809">
          <cell r="B1809">
            <v>45810</v>
          </cell>
          <cell r="C1809">
            <v>235</v>
          </cell>
          <cell r="D1809" t="str">
            <v>Nelson_Gavin_25</v>
          </cell>
        </row>
        <row r="1810">
          <cell r="B1810">
            <v>45810</v>
          </cell>
          <cell r="C1810">
            <v>263.8</v>
          </cell>
          <cell r="D1810" t="str">
            <v>Norris_Sammy_25</v>
          </cell>
        </row>
        <row r="1811">
          <cell r="B1811">
            <v>45810</v>
          </cell>
          <cell r="C1811">
            <v>172.4</v>
          </cell>
          <cell r="D1811" t="str">
            <v>Oliver_Jason_25</v>
          </cell>
        </row>
        <row r="1812">
          <cell r="B1812">
            <v>45810</v>
          </cell>
          <cell r="C1812">
            <v>303</v>
          </cell>
          <cell r="D1812" t="str">
            <v>Ortiz_Elijah_25</v>
          </cell>
        </row>
        <row r="1813">
          <cell r="B1813">
            <v>45810</v>
          </cell>
          <cell r="C1813">
            <v>225.6</v>
          </cell>
          <cell r="D1813" t="str">
            <v>Puloka_Fata_25</v>
          </cell>
        </row>
        <row r="1814">
          <cell r="B1814">
            <v>45810</v>
          </cell>
          <cell r="C1814">
            <v>182.2</v>
          </cell>
          <cell r="D1814" t="str">
            <v>Rashada_Jaden_25</v>
          </cell>
        </row>
        <row r="1815">
          <cell r="B1815">
            <v>45810</v>
          </cell>
          <cell r="C1815">
            <v>235.8</v>
          </cell>
          <cell r="D1815" t="str">
            <v>Red_Savion_25</v>
          </cell>
        </row>
        <row r="1816">
          <cell r="B1816">
            <v>45810</v>
          </cell>
          <cell r="C1816">
            <v>324.39999999999998</v>
          </cell>
          <cell r="D1816" t="str">
            <v>Riley_Kenndel_25</v>
          </cell>
        </row>
        <row r="1817">
          <cell r="B1817">
            <v>45810</v>
          </cell>
          <cell r="C1817">
            <v>175.8</v>
          </cell>
          <cell r="D1817" t="str">
            <v>Robinson_Jayden_25</v>
          </cell>
        </row>
        <row r="1818">
          <cell r="B1818">
            <v>45810</v>
          </cell>
          <cell r="C1818">
            <v>218.6</v>
          </cell>
          <cell r="D1818" t="str">
            <v>Rocha_Alex_25</v>
          </cell>
        </row>
        <row r="1819">
          <cell r="B1819">
            <v>45810</v>
          </cell>
          <cell r="C1819">
            <v>264.8</v>
          </cell>
          <cell r="D1819" t="str">
            <v>Ross_Kris_25</v>
          </cell>
        </row>
        <row r="1820">
          <cell r="B1820">
            <v>45810</v>
          </cell>
          <cell r="C1820">
            <v>243.8</v>
          </cell>
          <cell r="D1820" t="str">
            <v>Scott_Brennon_25</v>
          </cell>
        </row>
        <row r="1821">
          <cell r="B1821">
            <v>45810</v>
          </cell>
          <cell r="C1821">
            <v>269.2</v>
          </cell>
          <cell r="D1821" t="str">
            <v>Slater_Luke_25</v>
          </cell>
        </row>
        <row r="1822">
          <cell r="B1822">
            <v>45810</v>
          </cell>
          <cell r="C1822">
            <v>191</v>
          </cell>
          <cell r="D1822" t="str">
            <v>Smith_Onterrio_25</v>
          </cell>
        </row>
        <row r="1823">
          <cell r="B1823">
            <v>45810</v>
          </cell>
          <cell r="C1823">
            <v>190.6</v>
          </cell>
          <cell r="D1823" t="str">
            <v>Smith_Warren_25</v>
          </cell>
        </row>
        <row r="1824">
          <cell r="B1824">
            <v>45810</v>
          </cell>
          <cell r="C1824">
            <v>314.2</v>
          </cell>
          <cell r="D1824" t="str">
            <v>Soto_Jose_25</v>
          </cell>
        </row>
        <row r="1825">
          <cell r="B1825">
            <v>45810</v>
          </cell>
          <cell r="C1825">
            <v>308.60000000000002</v>
          </cell>
          <cell r="D1825" t="str">
            <v>Sousa_Brandon_25</v>
          </cell>
        </row>
        <row r="1826">
          <cell r="B1826">
            <v>45810</v>
          </cell>
          <cell r="C1826">
            <v>270.8</v>
          </cell>
          <cell r="D1826" t="str">
            <v>Speno_Joseph_25</v>
          </cell>
        </row>
        <row r="1827">
          <cell r="B1827">
            <v>45810</v>
          </cell>
          <cell r="C1827">
            <v>313.60000000000002</v>
          </cell>
          <cell r="D1827" t="str">
            <v>Summers_Bryson_25</v>
          </cell>
        </row>
        <row r="1828">
          <cell r="B1828">
            <v>45810</v>
          </cell>
          <cell r="C1828">
            <v>297.39999999999998</v>
          </cell>
          <cell r="D1828" t="str">
            <v>Swindle_Melvin_25</v>
          </cell>
        </row>
        <row r="1829">
          <cell r="B1829">
            <v>45810</v>
          </cell>
          <cell r="C1829">
            <v>282</v>
          </cell>
          <cell r="D1829" t="str">
            <v>Tagaloa_Brodie_25</v>
          </cell>
        </row>
        <row r="1830">
          <cell r="B1830">
            <v>45810</v>
          </cell>
          <cell r="C1830">
            <v>229.2</v>
          </cell>
          <cell r="D1830" t="str">
            <v>Tanner_Logan_25</v>
          </cell>
        </row>
        <row r="1831">
          <cell r="B1831">
            <v>45810</v>
          </cell>
          <cell r="C1831">
            <v>162.80000000000001</v>
          </cell>
          <cell r="D1831" t="str">
            <v>Taylor_Adam_25</v>
          </cell>
        </row>
        <row r="1832">
          <cell r="B1832">
            <v>45810</v>
          </cell>
          <cell r="C1832">
            <v>267.8</v>
          </cell>
          <cell r="D1832" t="str">
            <v>Tenney_Bear_25</v>
          </cell>
        </row>
        <row r="1833">
          <cell r="B1833">
            <v>45810</v>
          </cell>
          <cell r="C1833">
            <v>190</v>
          </cell>
          <cell r="D1833" t="str">
            <v>Thomson_Gavin_25</v>
          </cell>
        </row>
        <row r="1834">
          <cell r="B1834">
            <v>45810</v>
          </cell>
          <cell r="C1834">
            <v>296</v>
          </cell>
          <cell r="D1834" t="str">
            <v>Tullis_Malik_25</v>
          </cell>
        </row>
        <row r="1835">
          <cell r="B1835">
            <v>45810</v>
          </cell>
          <cell r="C1835">
            <v>237.2</v>
          </cell>
          <cell r="D1835" t="str">
            <v>Vi_Pita_25</v>
          </cell>
        </row>
        <row r="1836">
          <cell r="B1836">
            <v>45810</v>
          </cell>
          <cell r="C1836">
            <v>191.8</v>
          </cell>
          <cell r="D1836" t="str">
            <v>Williams_Cardell_25</v>
          </cell>
        </row>
        <row r="1837">
          <cell r="B1837">
            <v>45810</v>
          </cell>
          <cell r="C1837">
            <v>194.8</v>
          </cell>
          <cell r="D1837" t="str">
            <v>Williams_Jalen_25</v>
          </cell>
        </row>
        <row r="1838">
          <cell r="B1838">
            <v>45810</v>
          </cell>
          <cell r="C1838">
            <v>217.2</v>
          </cell>
          <cell r="D1838" t="str">
            <v>Williams_Jordan_25</v>
          </cell>
        </row>
        <row r="1839">
          <cell r="B1839">
            <v>45810</v>
          </cell>
          <cell r="C1839">
            <v>250</v>
          </cell>
          <cell r="D1839" t="str">
            <v>Williams_Xavier_25</v>
          </cell>
        </row>
        <row r="1840">
          <cell r="B1840">
            <v>45810</v>
          </cell>
          <cell r="C1840">
            <v>216.6</v>
          </cell>
          <cell r="D1840" t="str">
            <v>Wilson_Jace_25</v>
          </cell>
        </row>
        <row r="1841">
          <cell r="B1841">
            <v>45810</v>
          </cell>
          <cell r="C1841">
            <v>210.2</v>
          </cell>
          <cell r="D1841" t="str">
            <v>Wright_Deven_25</v>
          </cell>
        </row>
        <row r="1842">
          <cell r="B1842">
            <v>45807</v>
          </cell>
          <cell r="C1842">
            <v>298</v>
          </cell>
          <cell r="D1842" t="str">
            <v>Abdullah_Dean_25</v>
          </cell>
        </row>
        <row r="1843">
          <cell r="B1843">
            <v>45807</v>
          </cell>
          <cell r="C1843">
            <v>222</v>
          </cell>
          <cell r="D1843" t="str">
            <v>Adams_Sam_25</v>
          </cell>
        </row>
        <row r="1844">
          <cell r="B1844">
            <v>45807</v>
          </cell>
          <cell r="C1844">
            <v>191</v>
          </cell>
          <cell r="D1844" t="str">
            <v>Akui_Koa_25</v>
          </cell>
        </row>
        <row r="1845">
          <cell r="B1845">
            <v>45807</v>
          </cell>
          <cell r="C1845">
            <v>199</v>
          </cell>
          <cell r="D1845" t="str">
            <v>Anderson_Hayden_25</v>
          </cell>
        </row>
        <row r="1846">
          <cell r="B1846">
            <v>45807</v>
          </cell>
          <cell r="C1846">
            <v>177</v>
          </cell>
          <cell r="D1846" t="str">
            <v>Anderson_Jordan_25</v>
          </cell>
        </row>
        <row r="1847">
          <cell r="B1847">
            <v>45807</v>
          </cell>
          <cell r="C1847">
            <v>287</v>
          </cell>
          <cell r="D1847" t="str">
            <v>Bailey_Miles_25</v>
          </cell>
        </row>
        <row r="1848">
          <cell r="B1848">
            <v>45807</v>
          </cell>
          <cell r="C1848">
            <v>220</v>
          </cell>
          <cell r="D1848" t="str">
            <v>Boeddeker_Hunter_25</v>
          </cell>
        </row>
        <row r="1849">
          <cell r="B1849">
            <v>45807</v>
          </cell>
          <cell r="C1849">
            <v>159</v>
          </cell>
          <cell r="D1849" t="str">
            <v>Bryant_Ajon_25</v>
          </cell>
        </row>
        <row r="1850">
          <cell r="B1850">
            <v>45807</v>
          </cell>
          <cell r="C1850">
            <v>231</v>
          </cell>
          <cell r="D1850" t="str">
            <v>Cashiola_Josh_25</v>
          </cell>
        </row>
        <row r="1851">
          <cell r="B1851">
            <v>45807</v>
          </cell>
          <cell r="C1851">
            <v>158</v>
          </cell>
          <cell r="D1851" t="str">
            <v>Conerly_Tim_25</v>
          </cell>
        </row>
        <row r="1852">
          <cell r="B1852">
            <v>45807</v>
          </cell>
          <cell r="C1852">
            <v>172</v>
          </cell>
          <cell r="D1852" t="str">
            <v>Curtis_Jamar_25</v>
          </cell>
        </row>
        <row r="1853">
          <cell r="B1853">
            <v>45807</v>
          </cell>
          <cell r="C1853">
            <v>241</v>
          </cell>
          <cell r="D1853" t="str">
            <v>Davis_Diego_25</v>
          </cell>
        </row>
        <row r="1854">
          <cell r="B1854">
            <v>45807</v>
          </cell>
          <cell r="C1854">
            <v>196</v>
          </cell>
          <cell r="D1854" t="str">
            <v>Emerson_Yebrell_25</v>
          </cell>
        </row>
        <row r="1855">
          <cell r="B1855">
            <v>45807</v>
          </cell>
          <cell r="C1855">
            <v>226</v>
          </cell>
          <cell r="D1855" t="str">
            <v>Eskridge_Matthew_25</v>
          </cell>
        </row>
        <row r="1856">
          <cell r="B1856">
            <v>45807</v>
          </cell>
          <cell r="C1856">
            <v>186</v>
          </cell>
          <cell r="D1856" t="str">
            <v>Firebaugh_Joseph_25</v>
          </cell>
        </row>
        <row r="1857">
          <cell r="B1857">
            <v>45807</v>
          </cell>
          <cell r="C1857">
            <v>172</v>
          </cell>
          <cell r="D1857" t="str">
            <v>Fresques_Jaxon_25</v>
          </cell>
        </row>
        <row r="1858">
          <cell r="B1858">
            <v>45807</v>
          </cell>
          <cell r="C1858">
            <v>192</v>
          </cell>
          <cell r="D1858" t="str">
            <v>Garner_Drey_25</v>
          </cell>
        </row>
        <row r="1859">
          <cell r="B1859">
            <v>45807</v>
          </cell>
          <cell r="C1859">
            <v>317</v>
          </cell>
          <cell r="D1859" t="str">
            <v>Gillespie_James_25</v>
          </cell>
        </row>
        <row r="1860">
          <cell r="B1860">
            <v>45807</v>
          </cell>
          <cell r="C1860">
            <v>172</v>
          </cell>
          <cell r="D1860" t="str">
            <v>Gordon_Diesel_25</v>
          </cell>
        </row>
        <row r="1861">
          <cell r="B1861">
            <v>45807</v>
          </cell>
          <cell r="C1861">
            <v>295</v>
          </cell>
          <cell r="D1861" t="str">
            <v>Gretlein_Cade_25</v>
          </cell>
        </row>
        <row r="1862">
          <cell r="B1862">
            <v>45807</v>
          </cell>
          <cell r="C1862">
            <v>193</v>
          </cell>
          <cell r="D1862" t="str">
            <v>Hammond_Rodney_25</v>
          </cell>
        </row>
        <row r="1863">
          <cell r="B1863">
            <v>45807</v>
          </cell>
          <cell r="C1863">
            <v>247</v>
          </cell>
          <cell r="D1863" t="str">
            <v>Hampsten_Dylan_25</v>
          </cell>
        </row>
        <row r="1864">
          <cell r="B1864">
            <v>45807</v>
          </cell>
          <cell r="C1864">
            <v>294</v>
          </cell>
          <cell r="D1864" t="str">
            <v>Hays_Sawyer_25</v>
          </cell>
        </row>
        <row r="1865">
          <cell r="B1865">
            <v>45807</v>
          </cell>
          <cell r="C1865">
            <v>209</v>
          </cell>
          <cell r="D1865" t="str">
            <v>Henderson_Damian_25</v>
          </cell>
        </row>
        <row r="1866">
          <cell r="B1866">
            <v>45807</v>
          </cell>
          <cell r="C1866">
            <v>349</v>
          </cell>
          <cell r="D1866" t="str">
            <v>Herman_Jordan_25</v>
          </cell>
        </row>
        <row r="1867">
          <cell r="B1867">
            <v>45807</v>
          </cell>
          <cell r="C1867">
            <v>193</v>
          </cell>
          <cell r="D1867" t="str">
            <v>Higgins_Kaleb_25</v>
          </cell>
        </row>
        <row r="1868">
          <cell r="B1868">
            <v>45807</v>
          </cell>
          <cell r="C1868">
            <v>228</v>
          </cell>
          <cell r="D1868" t="str">
            <v>Houston_Derek_25</v>
          </cell>
        </row>
        <row r="1869">
          <cell r="B1869">
            <v>45807</v>
          </cell>
          <cell r="C1869">
            <v>209</v>
          </cell>
          <cell r="D1869" t="str">
            <v>Huddle_Elijah_25</v>
          </cell>
        </row>
        <row r="1870">
          <cell r="B1870">
            <v>45807</v>
          </cell>
          <cell r="C1870">
            <v>306</v>
          </cell>
          <cell r="D1870" t="str">
            <v>Jefferson_Jordan_25</v>
          </cell>
        </row>
        <row r="1871">
          <cell r="B1871">
            <v>45807</v>
          </cell>
          <cell r="C1871">
            <v>198</v>
          </cell>
          <cell r="D1871" t="str">
            <v>Jefferson_KJ_25</v>
          </cell>
        </row>
        <row r="1872">
          <cell r="B1872">
            <v>45807</v>
          </cell>
          <cell r="C1872">
            <v>185</v>
          </cell>
          <cell r="D1872" t="str">
            <v>Johnson-Burrell_Lamont_25</v>
          </cell>
        </row>
        <row r="1873">
          <cell r="B1873">
            <v>45807</v>
          </cell>
          <cell r="C1873">
            <v>219</v>
          </cell>
          <cell r="D1873" t="str">
            <v>Johnston_Adam_25</v>
          </cell>
        </row>
        <row r="1874">
          <cell r="B1874">
            <v>45807</v>
          </cell>
          <cell r="C1874">
            <v>298</v>
          </cell>
          <cell r="D1874" t="str">
            <v>Kovacs_Giovanni_25</v>
          </cell>
        </row>
        <row r="1875">
          <cell r="B1875">
            <v>45807</v>
          </cell>
          <cell r="C1875">
            <v>164</v>
          </cell>
          <cell r="D1875" t="str">
            <v>Lee_Ricky_25</v>
          </cell>
        </row>
        <row r="1876">
          <cell r="B1876">
            <v>45807</v>
          </cell>
          <cell r="C1876">
            <v>345</v>
          </cell>
          <cell r="D1876" t="str">
            <v>Massey_Syncere_25</v>
          </cell>
        </row>
        <row r="1877">
          <cell r="B1877">
            <v>45807</v>
          </cell>
          <cell r="C1877">
            <v>340</v>
          </cell>
          <cell r="D1877" t="str">
            <v>May_Davis_25</v>
          </cell>
        </row>
        <row r="1878">
          <cell r="B1878">
            <v>45807</v>
          </cell>
          <cell r="C1878">
            <v>175</v>
          </cell>
          <cell r="D1878" t="str">
            <v>McDaniel_Damien_25</v>
          </cell>
        </row>
        <row r="1879">
          <cell r="B1879">
            <v>45807</v>
          </cell>
          <cell r="C1879">
            <v>188</v>
          </cell>
          <cell r="D1879" t="str">
            <v>McDowell_Connor_25</v>
          </cell>
        </row>
        <row r="1880">
          <cell r="B1880">
            <v>45807</v>
          </cell>
          <cell r="C1880">
            <v>282</v>
          </cell>
          <cell r="D1880" t="str">
            <v>McGlothen_Jayland_25</v>
          </cell>
        </row>
        <row r="1881">
          <cell r="B1881">
            <v>45807</v>
          </cell>
          <cell r="C1881">
            <v>198</v>
          </cell>
          <cell r="D1881" t="str">
            <v>McGough_Cal_25</v>
          </cell>
        </row>
        <row r="1882">
          <cell r="B1882">
            <v>45807</v>
          </cell>
          <cell r="C1882">
            <v>286</v>
          </cell>
          <cell r="D1882" t="str">
            <v>McKay_Richard_25</v>
          </cell>
        </row>
        <row r="1883">
          <cell r="B1883">
            <v>45807</v>
          </cell>
          <cell r="C1883">
            <v>192</v>
          </cell>
          <cell r="D1883" t="str">
            <v>McKenzie_Anta'Veon_25</v>
          </cell>
        </row>
        <row r="1884">
          <cell r="B1884">
            <v>45807</v>
          </cell>
          <cell r="C1884">
            <v>183</v>
          </cell>
          <cell r="D1884" t="str">
            <v>Meadors_Grant_25</v>
          </cell>
        </row>
        <row r="1885">
          <cell r="B1885">
            <v>45807</v>
          </cell>
          <cell r="C1885">
            <v>297</v>
          </cell>
          <cell r="D1885" t="str">
            <v>Meek_Aidan_25</v>
          </cell>
        </row>
        <row r="1886">
          <cell r="B1886">
            <v>45807</v>
          </cell>
          <cell r="C1886">
            <v>187</v>
          </cell>
          <cell r="D1886" t="str">
            <v>Melanson_Mike_25</v>
          </cell>
        </row>
        <row r="1887">
          <cell r="B1887">
            <v>45807</v>
          </cell>
          <cell r="C1887">
            <v>217</v>
          </cell>
          <cell r="D1887" t="str">
            <v>Moore_Oscar_25</v>
          </cell>
        </row>
        <row r="1888">
          <cell r="B1888">
            <v>45807</v>
          </cell>
          <cell r="C1888">
            <v>178</v>
          </cell>
          <cell r="D1888" t="str">
            <v>Mullican_Elias_25</v>
          </cell>
        </row>
        <row r="1889">
          <cell r="B1889">
            <v>45807</v>
          </cell>
          <cell r="C1889">
            <v>193</v>
          </cell>
          <cell r="D1889" t="str">
            <v>NA</v>
          </cell>
        </row>
        <row r="1890">
          <cell r="B1890">
            <v>45807</v>
          </cell>
          <cell r="C1890">
            <v>232</v>
          </cell>
          <cell r="D1890" t="str">
            <v>Nelson_Gavin_25</v>
          </cell>
        </row>
        <row r="1891">
          <cell r="B1891">
            <v>45807</v>
          </cell>
          <cell r="C1891">
            <v>261</v>
          </cell>
          <cell r="D1891" t="str">
            <v>Norris_Sammy_25</v>
          </cell>
        </row>
        <row r="1892">
          <cell r="B1892">
            <v>45807</v>
          </cell>
          <cell r="C1892">
            <v>171</v>
          </cell>
          <cell r="D1892" t="str">
            <v>Oliver_Jason_25</v>
          </cell>
        </row>
        <row r="1893">
          <cell r="B1893">
            <v>45807</v>
          </cell>
          <cell r="C1893">
            <v>304</v>
          </cell>
          <cell r="D1893" t="str">
            <v>Ortiz_Elijah_25</v>
          </cell>
        </row>
        <row r="1894">
          <cell r="B1894">
            <v>45807</v>
          </cell>
          <cell r="C1894">
            <v>228</v>
          </cell>
          <cell r="D1894" t="str">
            <v>Puloka_Fata_25</v>
          </cell>
        </row>
        <row r="1895">
          <cell r="B1895">
            <v>45807</v>
          </cell>
          <cell r="C1895">
            <v>182</v>
          </cell>
          <cell r="D1895" t="str">
            <v>Rashada_Jaden_25</v>
          </cell>
        </row>
        <row r="1896">
          <cell r="B1896">
            <v>45807</v>
          </cell>
          <cell r="C1896">
            <v>237</v>
          </cell>
          <cell r="D1896" t="str">
            <v>Red_Savion_25</v>
          </cell>
        </row>
        <row r="1897">
          <cell r="B1897">
            <v>45807</v>
          </cell>
          <cell r="C1897">
            <v>325</v>
          </cell>
          <cell r="D1897" t="str">
            <v>Riley_Kenndel_25</v>
          </cell>
        </row>
        <row r="1898">
          <cell r="B1898">
            <v>45807</v>
          </cell>
          <cell r="C1898">
            <v>216</v>
          </cell>
          <cell r="D1898" t="str">
            <v>Rocha_Alex_25</v>
          </cell>
        </row>
        <row r="1899">
          <cell r="B1899">
            <v>45807</v>
          </cell>
          <cell r="C1899">
            <v>265</v>
          </cell>
          <cell r="D1899" t="str">
            <v>Ross_Kris_25</v>
          </cell>
        </row>
        <row r="1900">
          <cell r="B1900">
            <v>45807</v>
          </cell>
          <cell r="C1900">
            <v>246</v>
          </cell>
          <cell r="D1900" t="str">
            <v>Scott_Brennon_25</v>
          </cell>
        </row>
        <row r="1901">
          <cell r="B1901">
            <v>45807</v>
          </cell>
          <cell r="C1901">
            <v>270</v>
          </cell>
          <cell r="D1901" t="str">
            <v>Slater_Luke_25</v>
          </cell>
        </row>
        <row r="1902">
          <cell r="B1902">
            <v>45807</v>
          </cell>
          <cell r="C1902">
            <v>190</v>
          </cell>
          <cell r="D1902" t="str">
            <v>Smith_Onterrio_25</v>
          </cell>
        </row>
        <row r="1903">
          <cell r="B1903">
            <v>45807</v>
          </cell>
          <cell r="C1903">
            <v>192</v>
          </cell>
          <cell r="D1903" t="str">
            <v>Smith_Warren_25</v>
          </cell>
        </row>
        <row r="1904">
          <cell r="B1904">
            <v>45807</v>
          </cell>
          <cell r="C1904">
            <v>309</v>
          </cell>
          <cell r="D1904" t="str">
            <v>Soto_Jose_25</v>
          </cell>
        </row>
        <row r="1905">
          <cell r="B1905">
            <v>45807</v>
          </cell>
          <cell r="C1905">
            <v>306</v>
          </cell>
          <cell r="D1905" t="str">
            <v>Sousa_Brandon_25</v>
          </cell>
        </row>
        <row r="1906">
          <cell r="B1906">
            <v>45807</v>
          </cell>
          <cell r="C1906">
            <v>275</v>
          </cell>
          <cell r="D1906" t="str">
            <v>Speno_Joseph_25</v>
          </cell>
        </row>
        <row r="1907">
          <cell r="B1907">
            <v>45807</v>
          </cell>
          <cell r="C1907">
            <v>315</v>
          </cell>
          <cell r="D1907" t="str">
            <v>Summers_Bryson_25</v>
          </cell>
        </row>
        <row r="1908">
          <cell r="B1908">
            <v>45807</v>
          </cell>
          <cell r="C1908">
            <v>294</v>
          </cell>
          <cell r="D1908" t="str">
            <v>Swindle_Melvin_25</v>
          </cell>
        </row>
        <row r="1909">
          <cell r="B1909">
            <v>45807</v>
          </cell>
          <cell r="C1909">
            <v>282</v>
          </cell>
          <cell r="D1909" t="str">
            <v>Tagaloa_Brodie_25</v>
          </cell>
        </row>
        <row r="1910">
          <cell r="B1910">
            <v>45807</v>
          </cell>
          <cell r="C1910">
            <v>229</v>
          </cell>
          <cell r="D1910" t="str">
            <v>Tanner_Logan_25</v>
          </cell>
        </row>
        <row r="1911">
          <cell r="B1911">
            <v>45807</v>
          </cell>
          <cell r="C1911">
            <v>162</v>
          </cell>
          <cell r="D1911" t="str">
            <v>Taylor_Adam_25</v>
          </cell>
        </row>
        <row r="1912">
          <cell r="B1912">
            <v>45807</v>
          </cell>
          <cell r="C1912">
            <v>268</v>
          </cell>
          <cell r="D1912" t="str">
            <v>Tenney_Bear_25</v>
          </cell>
        </row>
        <row r="1913">
          <cell r="B1913">
            <v>45807</v>
          </cell>
          <cell r="C1913">
            <v>190</v>
          </cell>
          <cell r="D1913" t="str">
            <v>Thomson_Gavin_25</v>
          </cell>
        </row>
        <row r="1914">
          <cell r="B1914">
            <v>45807</v>
          </cell>
          <cell r="C1914">
            <v>293</v>
          </cell>
          <cell r="D1914" t="str">
            <v>Tullis_Malik_25</v>
          </cell>
        </row>
        <row r="1915">
          <cell r="B1915">
            <v>45807</v>
          </cell>
          <cell r="C1915">
            <v>235</v>
          </cell>
          <cell r="D1915" t="str">
            <v>Vi_Pita_25</v>
          </cell>
        </row>
        <row r="1916">
          <cell r="B1916">
            <v>45807</v>
          </cell>
          <cell r="C1916">
            <v>181</v>
          </cell>
          <cell r="D1916" t="str">
            <v>Williams_Cardell_25</v>
          </cell>
        </row>
        <row r="1917">
          <cell r="B1917">
            <v>45807</v>
          </cell>
          <cell r="C1917">
            <v>192</v>
          </cell>
          <cell r="D1917" t="str">
            <v>Williams_Jalen_25</v>
          </cell>
        </row>
        <row r="1918">
          <cell r="B1918">
            <v>45807</v>
          </cell>
          <cell r="C1918">
            <v>219</v>
          </cell>
          <cell r="D1918" t="str">
            <v>Williams_Jordan_25</v>
          </cell>
        </row>
        <row r="1919">
          <cell r="B1919">
            <v>45807</v>
          </cell>
          <cell r="C1919">
            <v>250</v>
          </cell>
          <cell r="D1919" t="str">
            <v>Williams_Xavier_25</v>
          </cell>
        </row>
        <row r="1920">
          <cell r="B1920">
            <v>45807</v>
          </cell>
          <cell r="C1920">
            <v>214</v>
          </cell>
          <cell r="D1920" t="str">
            <v>Wilson_Jace_25</v>
          </cell>
        </row>
        <row r="1921">
          <cell r="B1921">
            <v>45807</v>
          </cell>
          <cell r="C1921">
            <v>207</v>
          </cell>
          <cell r="D1921" t="str">
            <v>Wright_Deven_25</v>
          </cell>
        </row>
        <row r="1922">
          <cell r="B1922">
            <v>45804</v>
          </cell>
          <cell r="C1922">
            <v>296.47199999999998</v>
          </cell>
          <cell r="D1922" t="str">
            <v>Abdullah_Dean_25</v>
          </cell>
        </row>
        <row r="1923">
          <cell r="B1923">
            <v>45804</v>
          </cell>
          <cell r="C1923">
            <v>217.404</v>
          </cell>
          <cell r="D1923" t="str">
            <v>Adams_Sam_25</v>
          </cell>
        </row>
        <row r="1924">
          <cell r="B1924">
            <v>45804</v>
          </cell>
          <cell r="C1924">
            <v>189.61799999999999</v>
          </cell>
          <cell r="D1924" t="str">
            <v>Akui_Koa_25</v>
          </cell>
        </row>
        <row r="1925">
          <cell r="B1925">
            <v>45804</v>
          </cell>
          <cell r="C1925">
            <v>200.06800000000001</v>
          </cell>
          <cell r="D1925" t="str">
            <v>Anderson_Hayden_25</v>
          </cell>
        </row>
        <row r="1926">
          <cell r="B1926">
            <v>45804</v>
          </cell>
          <cell r="C1926">
            <v>179.80600000000001</v>
          </cell>
          <cell r="D1926" t="str">
            <v>Anderson_Jordan_25</v>
          </cell>
        </row>
        <row r="1927">
          <cell r="B1927">
            <v>45804</v>
          </cell>
          <cell r="C1927">
            <v>197.626</v>
          </cell>
          <cell r="D1927" t="str">
            <v>Atkinson_Jordan_25</v>
          </cell>
        </row>
        <row r="1928">
          <cell r="B1928">
            <v>45804</v>
          </cell>
          <cell r="C1928">
            <v>283.84399999999999</v>
          </cell>
          <cell r="D1928" t="str">
            <v>Bailey_Miles_25</v>
          </cell>
        </row>
        <row r="1929">
          <cell r="B1929">
            <v>45804</v>
          </cell>
          <cell r="C1929">
            <v>214.52199999999999</v>
          </cell>
          <cell r="D1929" t="str">
            <v>Boeddeker_Hunter_25</v>
          </cell>
        </row>
        <row r="1930">
          <cell r="B1930">
            <v>45804</v>
          </cell>
          <cell r="C1930">
            <v>190</v>
          </cell>
          <cell r="D1930" t="str">
            <v>Borders_Curron_25</v>
          </cell>
        </row>
        <row r="1931">
          <cell r="B1931">
            <v>45804</v>
          </cell>
          <cell r="C1931">
            <v>157.38800000000001</v>
          </cell>
          <cell r="D1931" t="str">
            <v>Bryant_Ajon_25</v>
          </cell>
        </row>
        <row r="1932">
          <cell r="B1932">
            <v>45804</v>
          </cell>
          <cell r="C1932">
            <v>185.50399999999999</v>
          </cell>
          <cell r="D1932" t="str">
            <v>Butler_Dejuan_25</v>
          </cell>
        </row>
        <row r="1933">
          <cell r="B1933">
            <v>45804</v>
          </cell>
          <cell r="C1933">
            <v>228.03</v>
          </cell>
          <cell r="D1933" t="str">
            <v>Cashiola_Josh_25</v>
          </cell>
        </row>
        <row r="1934">
          <cell r="B1934">
            <v>45804</v>
          </cell>
          <cell r="C1934">
            <v>157.476</v>
          </cell>
          <cell r="D1934" t="str">
            <v>Conerly_Tim_25</v>
          </cell>
        </row>
        <row r="1935">
          <cell r="B1935">
            <v>45804</v>
          </cell>
          <cell r="C1935">
            <v>169.53200000000001</v>
          </cell>
          <cell r="D1935" t="str">
            <v>Curtis_Jamar_25</v>
          </cell>
        </row>
        <row r="1936">
          <cell r="B1936">
            <v>45804</v>
          </cell>
          <cell r="C1936">
            <v>239.20599999999999</v>
          </cell>
          <cell r="D1936" t="str">
            <v>Davis_Diego_25</v>
          </cell>
        </row>
        <row r="1937">
          <cell r="B1937">
            <v>45804</v>
          </cell>
          <cell r="C1937">
            <v>194.4</v>
          </cell>
          <cell r="D1937" t="str">
            <v>Emerson_Yebrell_25</v>
          </cell>
        </row>
        <row r="1938">
          <cell r="B1938">
            <v>45804</v>
          </cell>
          <cell r="C1938">
            <v>221.25399999999999</v>
          </cell>
          <cell r="D1938" t="str">
            <v>Eskridge_Matthew_25</v>
          </cell>
        </row>
        <row r="1939">
          <cell r="B1939">
            <v>45804</v>
          </cell>
          <cell r="C1939">
            <v>183.83199999999999</v>
          </cell>
          <cell r="D1939" t="str">
            <v>Firebaugh_Joseph_25</v>
          </cell>
        </row>
        <row r="1940">
          <cell r="B1940">
            <v>45804</v>
          </cell>
          <cell r="C1940">
            <v>170.94</v>
          </cell>
          <cell r="D1940" t="str">
            <v>Fresques_Jaxon_25</v>
          </cell>
        </row>
        <row r="1941">
          <cell r="B1941">
            <v>45804</v>
          </cell>
          <cell r="C1941">
            <v>190.23400000000001</v>
          </cell>
          <cell r="D1941" t="str">
            <v>Garner_Drey_25</v>
          </cell>
        </row>
        <row r="1942">
          <cell r="B1942">
            <v>45804</v>
          </cell>
          <cell r="C1942">
            <v>312.02600000000001</v>
          </cell>
          <cell r="D1942" t="str">
            <v>Gillespie_James_25</v>
          </cell>
        </row>
        <row r="1943">
          <cell r="B1943">
            <v>45804</v>
          </cell>
          <cell r="C1943">
            <v>166.76</v>
          </cell>
          <cell r="D1943" t="str">
            <v>Gordon_Diesel_25</v>
          </cell>
        </row>
        <row r="1944">
          <cell r="B1944">
            <v>45804</v>
          </cell>
          <cell r="C1944">
            <v>291.214</v>
          </cell>
          <cell r="D1944" t="str">
            <v>Gretlein_Cade_25</v>
          </cell>
        </row>
        <row r="1945">
          <cell r="B1945">
            <v>45804</v>
          </cell>
          <cell r="C1945">
            <v>191.84</v>
          </cell>
          <cell r="D1945" t="str">
            <v>Hammond_Rodney_25</v>
          </cell>
        </row>
        <row r="1946">
          <cell r="B1946">
            <v>45804</v>
          </cell>
          <cell r="C1946">
            <v>237.006</v>
          </cell>
          <cell r="D1946" t="str">
            <v>Hampsten_Dylan_25</v>
          </cell>
        </row>
        <row r="1947">
          <cell r="B1947">
            <v>45804</v>
          </cell>
          <cell r="C1947">
            <v>293.50200000000001</v>
          </cell>
          <cell r="D1947" t="str">
            <v>Hays_Sawyer_25</v>
          </cell>
        </row>
        <row r="1948">
          <cell r="B1948">
            <v>45804</v>
          </cell>
          <cell r="C1948">
            <v>208.208</v>
          </cell>
          <cell r="D1948" t="str">
            <v>Henderson_Damian_25</v>
          </cell>
        </row>
        <row r="1949">
          <cell r="B1949">
            <v>45804</v>
          </cell>
          <cell r="C1949">
            <v>352.6</v>
          </cell>
          <cell r="D1949" t="str">
            <v>Herman_Jordan_25</v>
          </cell>
        </row>
        <row r="1950">
          <cell r="B1950">
            <v>45804</v>
          </cell>
          <cell r="C1950">
            <v>189.31</v>
          </cell>
          <cell r="D1950" t="str">
            <v>Higgins_Kaleb_25</v>
          </cell>
        </row>
        <row r="1951">
          <cell r="B1951">
            <v>45804</v>
          </cell>
          <cell r="C1951">
            <v>226.55600000000001</v>
          </cell>
          <cell r="D1951" t="str">
            <v>Houston_Derek_25</v>
          </cell>
        </row>
        <row r="1952">
          <cell r="B1952">
            <v>45804</v>
          </cell>
          <cell r="C1952">
            <v>208.67</v>
          </cell>
          <cell r="D1952" t="str">
            <v>Huddle_Elijah_25</v>
          </cell>
        </row>
        <row r="1953">
          <cell r="B1953">
            <v>45804</v>
          </cell>
          <cell r="C1953">
            <v>302.346</v>
          </cell>
          <cell r="D1953" t="str">
            <v>Jefferson_Jordan_25</v>
          </cell>
        </row>
        <row r="1954">
          <cell r="B1954">
            <v>45804</v>
          </cell>
          <cell r="C1954">
            <v>194.04</v>
          </cell>
          <cell r="D1954" t="str">
            <v>Jefferson_KJ_25</v>
          </cell>
        </row>
        <row r="1955">
          <cell r="B1955">
            <v>45804</v>
          </cell>
          <cell r="C1955">
            <v>186.45</v>
          </cell>
          <cell r="D1955" t="str">
            <v>Johnson-Burrell_Lamont_25</v>
          </cell>
        </row>
        <row r="1956">
          <cell r="B1956">
            <v>45804</v>
          </cell>
          <cell r="C1956">
            <v>213.66399999999999</v>
          </cell>
          <cell r="D1956" t="str">
            <v>Johnston_Adam_25</v>
          </cell>
        </row>
        <row r="1957">
          <cell r="B1957">
            <v>45804</v>
          </cell>
          <cell r="C1957">
            <v>299.31</v>
          </cell>
          <cell r="D1957" t="str">
            <v>Kovacs_Giovanni_25</v>
          </cell>
        </row>
        <row r="1958">
          <cell r="B1958">
            <v>45804</v>
          </cell>
          <cell r="C1958">
            <v>159.94</v>
          </cell>
          <cell r="D1958" t="str">
            <v>Lee_Ricky_25</v>
          </cell>
        </row>
        <row r="1959">
          <cell r="B1959">
            <v>45804</v>
          </cell>
          <cell r="C1959">
            <v>210.82599999999999</v>
          </cell>
          <cell r="D1959" t="str">
            <v>Malone_Jamar_25</v>
          </cell>
        </row>
        <row r="1960">
          <cell r="B1960">
            <v>45804</v>
          </cell>
          <cell r="C1960">
            <v>339.6</v>
          </cell>
          <cell r="D1960" t="str">
            <v>Massey_Syncere_25</v>
          </cell>
        </row>
        <row r="1961">
          <cell r="B1961">
            <v>45804</v>
          </cell>
          <cell r="C1961">
            <v>333.69600000000003</v>
          </cell>
          <cell r="D1961" t="str">
            <v>May_Davis_25</v>
          </cell>
        </row>
        <row r="1962">
          <cell r="B1962">
            <v>45804</v>
          </cell>
          <cell r="C1962">
            <v>172.50200000000001</v>
          </cell>
          <cell r="D1962" t="str">
            <v>McDaniel_Damien_25</v>
          </cell>
        </row>
        <row r="1963">
          <cell r="B1963">
            <v>45804</v>
          </cell>
          <cell r="C1963">
            <v>185.87799999999999</v>
          </cell>
          <cell r="D1963" t="str">
            <v>McDowell_Connor_25</v>
          </cell>
        </row>
        <row r="1964">
          <cell r="B1964">
            <v>45804</v>
          </cell>
          <cell r="C1964">
            <v>278.608</v>
          </cell>
          <cell r="D1964" t="str">
            <v>McGlothen_Jayland_25</v>
          </cell>
        </row>
        <row r="1965">
          <cell r="B1965">
            <v>45804</v>
          </cell>
          <cell r="C1965">
            <v>195.756</v>
          </cell>
          <cell r="D1965" t="str">
            <v>McGough_Cal_25</v>
          </cell>
        </row>
        <row r="1966">
          <cell r="B1966">
            <v>45804</v>
          </cell>
          <cell r="C1966">
            <v>284.79000000000002</v>
          </cell>
          <cell r="D1966" t="str">
            <v>McKay_Richard_25</v>
          </cell>
        </row>
        <row r="1967">
          <cell r="B1967">
            <v>45804</v>
          </cell>
          <cell r="C1967">
            <v>190.56399999999999</v>
          </cell>
          <cell r="D1967" t="str">
            <v>McKenzie_Anta'Veon_25</v>
          </cell>
        </row>
        <row r="1968">
          <cell r="B1968">
            <v>45804</v>
          </cell>
          <cell r="C1968">
            <v>184.29400000000001</v>
          </cell>
          <cell r="D1968" t="str">
            <v>Meadors_Grant_25</v>
          </cell>
        </row>
        <row r="1969">
          <cell r="B1969">
            <v>45804</v>
          </cell>
          <cell r="C1969">
            <v>296.62599999999998</v>
          </cell>
          <cell r="D1969" t="str">
            <v>Meek_Aidan_25</v>
          </cell>
        </row>
        <row r="1970">
          <cell r="B1970">
            <v>45804</v>
          </cell>
          <cell r="C1970">
            <v>187</v>
          </cell>
          <cell r="D1970" t="str">
            <v>Melanson_Mike_25</v>
          </cell>
        </row>
        <row r="1971">
          <cell r="B1971">
            <v>45804</v>
          </cell>
          <cell r="C1971">
            <v>211.904</v>
          </cell>
          <cell r="D1971" t="str">
            <v>Moore_Oscar_25</v>
          </cell>
        </row>
        <row r="1972">
          <cell r="B1972">
            <v>45804</v>
          </cell>
          <cell r="C1972">
            <v>176.506</v>
          </cell>
          <cell r="D1972" t="str">
            <v>Mullican_Elias_25</v>
          </cell>
        </row>
        <row r="1973">
          <cell r="B1973">
            <v>45804</v>
          </cell>
          <cell r="C1973">
            <v>188.34200000000001</v>
          </cell>
          <cell r="D1973" t="str">
            <v>NA</v>
          </cell>
        </row>
        <row r="1974">
          <cell r="B1974">
            <v>45804</v>
          </cell>
          <cell r="C1974">
            <v>232.91399999999999</v>
          </cell>
          <cell r="D1974" t="str">
            <v>Nelson_Gavin_25</v>
          </cell>
        </row>
        <row r="1975">
          <cell r="B1975">
            <v>45804</v>
          </cell>
          <cell r="C1975">
            <v>262.89999999999998</v>
          </cell>
          <cell r="D1975" t="str">
            <v>Norris_Sammy_25</v>
          </cell>
        </row>
        <row r="1976">
          <cell r="B1976">
            <v>45804</v>
          </cell>
          <cell r="C1976">
            <v>172.084</v>
          </cell>
          <cell r="D1976" t="str">
            <v>Oliver_Jason_25</v>
          </cell>
        </row>
        <row r="1977">
          <cell r="B1977">
            <v>45804</v>
          </cell>
          <cell r="C1977">
            <v>303.53399999999999</v>
          </cell>
          <cell r="D1977" t="str">
            <v>Ortiz_Elijah_25</v>
          </cell>
        </row>
        <row r="1978">
          <cell r="B1978">
            <v>45804</v>
          </cell>
          <cell r="C1978">
            <v>164.45</v>
          </cell>
          <cell r="D1978" t="str">
            <v>Patton_Alex_24</v>
          </cell>
        </row>
        <row r="1979">
          <cell r="B1979">
            <v>45804</v>
          </cell>
          <cell r="C1979">
            <v>227.37</v>
          </cell>
          <cell r="D1979" t="str">
            <v>Puloka_Fata_25</v>
          </cell>
        </row>
        <row r="1980">
          <cell r="B1980">
            <v>45804</v>
          </cell>
          <cell r="C1980">
            <v>175.25200000000001</v>
          </cell>
          <cell r="D1980" t="str">
            <v>Rashada_Jaden_25</v>
          </cell>
        </row>
        <row r="1981">
          <cell r="B1981">
            <v>45804</v>
          </cell>
          <cell r="C1981">
            <v>231.6</v>
          </cell>
          <cell r="D1981" t="str">
            <v>Red_Savion_25</v>
          </cell>
        </row>
        <row r="1982">
          <cell r="B1982">
            <v>45804</v>
          </cell>
          <cell r="C1982">
            <v>323.22399999999999</v>
          </cell>
          <cell r="D1982" t="str">
            <v>Riley_Kenndel_25</v>
          </cell>
        </row>
        <row r="1983">
          <cell r="B1983">
            <v>45804</v>
          </cell>
          <cell r="C1983">
            <v>213.68600000000001</v>
          </cell>
          <cell r="D1983" t="str">
            <v>Rocha_Alex_25</v>
          </cell>
        </row>
        <row r="1984">
          <cell r="B1984">
            <v>45804</v>
          </cell>
          <cell r="C1984">
            <v>260.238</v>
          </cell>
          <cell r="D1984" t="str">
            <v>Ross_Kris_25</v>
          </cell>
        </row>
        <row r="1985">
          <cell r="B1985">
            <v>45804</v>
          </cell>
          <cell r="C1985">
            <v>238.72200000000001</v>
          </cell>
          <cell r="D1985" t="str">
            <v>Scott_Brennon_25</v>
          </cell>
        </row>
        <row r="1986">
          <cell r="B1986">
            <v>45804</v>
          </cell>
          <cell r="C1986">
            <v>265.47399999999999</v>
          </cell>
          <cell r="D1986" t="str">
            <v>Slater_Luke_25</v>
          </cell>
        </row>
        <row r="1987">
          <cell r="B1987">
            <v>45804</v>
          </cell>
          <cell r="C1987">
            <v>186.428</v>
          </cell>
          <cell r="D1987" t="str">
            <v>Smith_Onterrio_25</v>
          </cell>
        </row>
        <row r="1988">
          <cell r="B1988">
            <v>45804</v>
          </cell>
          <cell r="C1988">
            <v>188.078</v>
          </cell>
          <cell r="D1988" t="str">
            <v>Smith_Warren_25</v>
          </cell>
        </row>
        <row r="1989">
          <cell r="B1989">
            <v>45804</v>
          </cell>
          <cell r="C1989">
            <v>306.68</v>
          </cell>
          <cell r="D1989" t="str">
            <v>Soto_Jose_25</v>
          </cell>
        </row>
        <row r="1990">
          <cell r="B1990">
            <v>45804</v>
          </cell>
          <cell r="C1990">
            <v>301.62</v>
          </cell>
          <cell r="D1990" t="str">
            <v>Sousa_Brandon_25</v>
          </cell>
        </row>
        <row r="1991">
          <cell r="B1991">
            <v>45804</v>
          </cell>
          <cell r="C1991">
            <v>275</v>
          </cell>
          <cell r="D1991" t="str">
            <v>Speno_Joseph_25</v>
          </cell>
        </row>
        <row r="1992">
          <cell r="B1992">
            <v>45804</v>
          </cell>
          <cell r="C1992">
            <v>306.81200000000001</v>
          </cell>
          <cell r="D1992" t="str">
            <v>Summers_Bryson_25</v>
          </cell>
        </row>
        <row r="1993">
          <cell r="B1993">
            <v>45804</v>
          </cell>
          <cell r="C1993">
            <v>294.64600000000002</v>
          </cell>
          <cell r="D1993" t="str">
            <v>Swindle_Melvin_25</v>
          </cell>
        </row>
        <row r="1994">
          <cell r="B1994">
            <v>45804</v>
          </cell>
          <cell r="C1994">
            <v>278</v>
          </cell>
          <cell r="D1994" t="str">
            <v>Tagaloa_Brodie_25</v>
          </cell>
        </row>
        <row r="1995">
          <cell r="B1995">
            <v>45804</v>
          </cell>
          <cell r="C1995">
            <v>229</v>
          </cell>
          <cell r="D1995" t="str">
            <v>Tanner_Logan_25</v>
          </cell>
        </row>
        <row r="1996">
          <cell r="B1996">
            <v>45804</v>
          </cell>
          <cell r="C1996">
            <v>163.9</v>
          </cell>
          <cell r="D1996" t="str">
            <v>Taylor_Adam_25</v>
          </cell>
        </row>
        <row r="1997">
          <cell r="B1997">
            <v>45804</v>
          </cell>
          <cell r="C1997">
            <v>264.59399999999999</v>
          </cell>
          <cell r="D1997" t="str">
            <v>Tenney_Bear_25</v>
          </cell>
        </row>
        <row r="1998">
          <cell r="B1998">
            <v>45804</v>
          </cell>
          <cell r="C1998">
            <v>184.93199999999999</v>
          </cell>
          <cell r="D1998" t="str">
            <v>Thomson_Gavin_25</v>
          </cell>
        </row>
        <row r="1999">
          <cell r="B1999">
            <v>45804</v>
          </cell>
          <cell r="C1999">
            <v>291.87400000000002</v>
          </cell>
          <cell r="D1999" t="str">
            <v>Tullis_Malik_25</v>
          </cell>
        </row>
        <row r="2000">
          <cell r="B2000">
            <v>45804</v>
          </cell>
          <cell r="C2000">
            <v>231.26400000000001</v>
          </cell>
          <cell r="D2000" t="str">
            <v>Vi_Pita_25</v>
          </cell>
        </row>
        <row r="2001">
          <cell r="B2001">
            <v>45804</v>
          </cell>
          <cell r="C2001">
            <v>315.238</v>
          </cell>
          <cell r="D2001" t="str">
            <v>Watts_DeSean_25</v>
          </cell>
        </row>
        <row r="2002">
          <cell r="B2002">
            <v>45804</v>
          </cell>
          <cell r="C2002">
            <v>176.70400000000001</v>
          </cell>
          <cell r="D2002" t="str">
            <v>Williams_Cardell_25</v>
          </cell>
        </row>
        <row r="2003">
          <cell r="B2003">
            <v>45804</v>
          </cell>
          <cell r="C2003">
            <v>191.46600000000001</v>
          </cell>
          <cell r="D2003" t="str">
            <v>Williams_Jalen_25</v>
          </cell>
        </row>
        <row r="2004">
          <cell r="B2004">
            <v>45804</v>
          </cell>
          <cell r="C2004">
            <v>216.92</v>
          </cell>
          <cell r="D2004" t="str">
            <v>Williams_Jordan_25</v>
          </cell>
        </row>
        <row r="2005">
          <cell r="B2005">
            <v>45804</v>
          </cell>
          <cell r="C2005">
            <v>248.446</v>
          </cell>
          <cell r="D2005" t="str">
            <v>Williams_Xavier_25</v>
          </cell>
        </row>
        <row r="2006">
          <cell r="B2006">
            <v>45804</v>
          </cell>
          <cell r="C2006">
            <v>216.06200000000001</v>
          </cell>
          <cell r="D2006" t="str">
            <v>Wilson_Jace_25</v>
          </cell>
        </row>
        <row r="2007">
          <cell r="B2007">
            <v>45804</v>
          </cell>
          <cell r="C2007">
            <v>199</v>
          </cell>
          <cell r="D2007" t="str">
            <v>Wright_Deven_25</v>
          </cell>
        </row>
        <row r="2008">
          <cell r="B2008">
            <v>45785</v>
          </cell>
          <cell r="C2008">
            <v>296.39999999999998</v>
          </cell>
          <cell r="D2008" t="str">
            <v>Abdullah_Dean_25</v>
          </cell>
        </row>
        <row r="2009">
          <cell r="B2009">
            <v>45785</v>
          </cell>
          <cell r="C2009">
            <v>188.8</v>
          </cell>
          <cell r="D2009" t="str">
            <v>Akui_Koa_25</v>
          </cell>
        </row>
        <row r="2010">
          <cell r="B2010">
            <v>45785</v>
          </cell>
          <cell r="C2010">
            <v>260.8</v>
          </cell>
          <cell r="D2010" t="str">
            <v>Ambuehl_Davis_25</v>
          </cell>
        </row>
        <row r="2011">
          <cell r="B2011">
            <v>45785</v>
          </cell>
          <cell r="C2011">
            <v>206.2</v>
          </cell>
          <cell r="D2011" t="str">
            <v>Anderson_Hayden_25</v>
          </cell>
        </row>
        <row r="2012">
          <cell r="B2012">
            <v>45785</v>
          </cell>
          <cell r="C2012">
            <v>172.4</v>
          </cell>
          <cell r="D2012" t="str">
            <v>Anderson_Jordan_25</v>
          </cell>
        </row>
        <row r="2013">
          <cell r="B2013">
            <v>45785</v>
          </cell>
          <cell r="C2013">
            <v>282.60000000000002</v>
          </cell>
          <cell r="D2013" t="str">
            <v>Bailey_Miles_25</v>
          </cell>
        </row>
        <row r="2014">
          <cell r="B2014">
            <v>45785</v>
          </cell>
          <cell r="C2014">
            <v>218</v>
          </cell>
          <cell r="D2014" t="str">
            <v>Boeddeker_Hunter_25</v>
          </cell>
        </row>
        <row r="2015">
          <cell r="B2015">
            <v>45785</v>
          </cell>
          <cell r="C2015">
            <v>188.4</v>
          </cell>
          <cell r="D2015" t="str">
            <v>Borders_Curron_25</v>
          </cell>
        </row>
        <row r="2016">
          <cell r="B2016">
            <v>45785</v>
          </cell>
          <cell r="C2016">
            <v>158.4</v>
          </cell>
          <cell r="D2016" t="str">
            <v>Bryant_Ajon_25</v>
          </cell>
        </row>
        <row r="2017">
          <cell r="B2017">
            <v>45785</v>
          </cell>
          <cell r="C2017">
            <v>221.4</v>
          </cell>
          <cell r="D2017" t="str">
            <v>Cashiola_Josh_25</v>
          </cell>
        </row>
        <row r="2018">
          <cell r="B2018">
            <v>45785</v>
          </cell>
          <cell r="C2018">
            <v>156.4</v>
          </cell>
          <cell r="D2018" t="str">
            <v>Conerly_Tim_25</v>
          </cell>
        </row>
        <row r="2019">
          <cell r="B2019">
            <v>45785</v>
          </cell>
          <cell r="C2019">
            <v>173.4</v>
          </cell>
          <cell r="D2019" t="str">
            <v>Curtis_Jamar_25</v>
          </cell>
        </row>
        <row r="2020">
          <cell r="B2020">
            <v>45785</v>
          </cell>
          <cell r="C2020">
            <v>235</v>
          </cell>
          <cell r="D2020" t="str">
            <v>Davis_Diego_25</v>
          </cell>
        </row>
        <row r="2021">
          <cell r="B2021">
            <v>45785</v>
          </cell>
          <cell r="C2021">
            <v>199.2</v>
          </cell>
          <cell r="D2021" t="str">
            <v>Emerson_Yebrell_25</v>
          </cell>
        </row>
        <row r="2022">
          <cell r="B2022">
            <v>45785</v>
          </cell>
          <cell r="C2022">
            <v>224.6</v>
          </cell>
          <cell r="D2022" t="str">
            <v>Eskridge_Matthew_25</v>
          </cell>
        </row>
        <row r="2023">
          <cell r="B2023">
            <v>45785</v>
          </cell>
          <cell r="C2023">
            <v>185</v>
          </cell>
          <cell r="D2023" t="str">
            <v>Firebaugh_Joseph_25</v>
          </cell>
        </row>
        <row r="2024">
          <cell r="B2024">
            <v>45785</v>
          </cell>
          <cell r="C2024">
            <v>171</v>
          </cell>
          <cell r="D2024" t="str">
            <v>Fresques_Jaxon_25</v>
          </cell>
        </row>
        <row r="2025">
          <cell r="B2025">
            <v>45785</v>
          </cell>
          <cell r="C2025">
            <v>290.8</v>
          </cell>
          <cell r="D2025" t="str">
            <v>Gretlein_Cade_25</v>
          </cell>
        </row>
        <row r="2026">
          <cell r="B2026">
            <v>45785</v>
          </cell>
          <cell r="C2026">
            <v>194.4</v>
          </cell>
          <cell r="D2026" t="str">
            <v>Hammond_Rodney_25</v>
          </cell>
        </row>
        <row r="2027">
          <cell r="B2027">
            <v>45785</v>
          </cell>
          <cell r="C2027">
            <v>294</v>
          </cell>
          <cell r="D2027" t="str">
            <v>Hays_Sawyer_25</v>
          </cell>
        </row>
        <row r="2028">
          <cell r="B2028">
            <v>45785</v>
          </cell>
          <cell r="C2028">
            <v>209.8</v>
          </cell>
          <cell r="D2028" t="str">
            <v>Henderson_Damian_25</v>
          </cell>
        </row>
        <row r="2029">
          <cell r="B2029">
            <v>45785</v>
          </cell>
          <cell r="C2029">
            <v>197.4</v>
          </cell>
          <cell r="D2029" t="str">
            <v>Higgins_Kaleb_25</v>
          </cell>
        </row>
        <row r="2030">
          <cell r="B2030">
            <v>45785</v>
          </cell>
          <cell r="C2030">
            <v>225.8</v>
          </cell>
          <cell r="D2030" t="str">
            <v>Houston_Derek_25</v>
          </cell>
        </row>
        <row r="2031">
          <cell r="B2031">
            <v>45785</v>
          </cell>
          <cell r="C2031">
            <v>210.8</v>
          </cell>
          <cell r="D2031" t="str">
            <v>Huddle_Elijah_25</v>
          </cell>
        </row>
        <row r="2032">
          <cell r="B2032">
            <v>45785</v>
          </cell>
          <cell r="C2032">
            <v>185.8</v>
          </cell>
          <cell r="D2032" t="str">
            <v>Johnson-Burrell_Lamont_25</v>
          </cell>
        </row>
        <row r="2033">
          <cell r="B2033">
            <v>45785</v>
          </cell>
          <cell r="C2033">
            <v>211.6</v>
          </cell>
          <cell r="D2033" t="str">
            <v>Johnston_Adam_25</v>
          </cell>
        </row>
        <row r="2034">
          <cell r="B2034">
            <v>45785</v>
          </cell>
          <cell r="C2034">
            <v>299.60000000000002</v>
          </cell>
          <cell r="D2034" t="str">
            <v>Kovacs_Giovanni_25</v>
          </cell>
        </row>
        <row r="2035">
          <cell r="B2035">
            <v>45785</v>
          </cell>
          <cell r="C2035">
            <v>165.8</v>
          </cell>
          <cell r="D2035" t="str">
            <v>Lee_Ricky_25</v>
          </cell>
        </row>
        <row r="2036">
          <cell r="B2036">
            <v>45785</v>
          </cell>
          <cell r="C2036">
            <v>329</v>
          </cell>
          <cell r="D2036" t="str">
            <v>May_Davis_25</v>
          </cell>
        </row>
        <row r="2037">
          <cell r="B2037">
            <v>45785</v>
          </cell>
          <cell r="C2037">
            <v>179.8</v>
          </cell>
          <cell r="D2037" t="str">
            <v>McDaniel_Damien_25</v>
          </cell>
        </row>
        <row r="2038">
          <cell r="B2038">
            <v>45785</v>
          </cell>
          <cell r="C2038">
            <v>190.6</v>
          </cell>
          <cell r="D2038" t="str">
            <v>McDowell_Connor_25</v>
          </cell>
        </row>
        <row r="2039">
          <cell r="B2039">
            <v>45785</v>
          </cell>
          <cell r="C2039">
            <v>277</v>
          </cell>
          <cell r="D2039" t="str">
            <v>McGlothen_Jayland_25</v>
          </cell>
        </row>
        <row r="2040">
          <cell r="B2040">
            <v>45785</v>
          </cell>
          <cell r="C2040">
            <v>194</v>
          </cell>
          <cell r="D2040" t="str">
            <v>McGough_Cal_25</v>
          </cell>
        </row>
        <row r="2041">
          <cell r="B2041">
            <v>45785</v>
          </cell>
          <cell r="C2041">
            <v>279.60000000000002</v>
          </cell>
          <cell r="D2041" t="str">
            <v>McKay_Richard_25</v>
          </cell>
        </row>
        <row r="2042">
          <cell r="B2042">
            <v>45785</v>
          </cell>
          <cell r="C2042">
            <v>193.8</v>
          </cell>
          <cell r="D2042" t="str">
            <v>McKenzie_Anta'Veon_25</v>
          </cell>
        </row>
        <row r="2043">
          <cell r="B2043">
            <v>45785</v>
          </cell>
          <cell r="C2043">
            <v>183.6</v>
          </cell>
          <cell r="D2043" t="str">
            <v>Meadors_Grant_25</v>
          </cell>
        </row>
        <row r="2044">
          <cell r="B2044">
            <v>45785</v>
          </cell>
          <cell r="C2044">
            <v>298.8</v>
          </cell>
          <cell r="D2044" t="str">
            <v>Meek_Aidan_25</v>
          </cell>
        </row>
        <row r="2045">
          <cell r="B2045">
            <v>45785</v>
          </cell>
          <cell r="C2045">
            <v>175.8</v>
          </cell>
          <cell r="D2045" t="str">
            <v>Mullican_Elias_25</v>
          </cell>
        </row>
        <row r="2046">
          <cell r="B2046">
            <v>45785</v>
          </cell>
          <cell r="C2046">
            <v>190.8</v>
          </cell>
          <cell r="D2046" t="str">
            <v>NA</v>
          </cell>
        </row>
        <row r="2047">
          <cell r="B2047">
            <v>45785</v>
          </cell>
          <cell r="C2047">
            <v>233.2</v>
          </cell>
          <cell r="D2047" t="str">
            <v>Nelson_Gavin_25</v>
          </cell>
        </row>
        <row r="2048">
          <cell r="B2048">
            <v>45785</v>
          </cell>
          <cell r="C2048">
            <v>264.8</v>
          </cell>
          <cell r="D2048" t="str">
            <v>Norris_Sammy_25</v>
          </cell>
        </row>
        <row r="2049">
          <cell r="B2049">
            <v>45785</v>
          </cell>
          <cell r="C2049">
            <v>173.8</v>
          </cell>
          <cell r="D2049" t="str">
            <v>Oliver_Jason_25</v>
          </cell>
        </row>
        <row r="2050">
          <cell r="B2050">
            <v>45785</v>
          </cell>
          <cell r="C2050">
            <v>301</v>
          </cell>
          <cell r="D2050" t="str">
            <v>Ortiz_Elijah_25</v>
          </cell>
        </row>
        <row r="2051">
          <cell r="B2051">
            <v>45785</v>
          </cell>
          <cell r="C2051">
            <v>226.4</v>
          </cell>
          <cell r="D2051" t="str">
            <v>Puloka_Fata_25</v>
          </cell>
        </row>
        <row r="2052">
          <cell r="B2052">
            <v>45785</v>
          </cell>
          <cell r="C2052">
            <v>325</v>
          </cell>
          <cell r="D2052" t="str">
            <v>Riley_Kenndel_25</v>
          </cell>
        </row>
        <row r="2053">
          <cell r="B2053">
            <v>45785</v>
          </cell>
          <cell r="C2053">
            <v>215.8</v>
          </cell>
          <cell r="D2053" t="str">
            <v>Rocha_Alex_25</v>
          </cell>
        </row>
        <row r="2054">
          <cell r="B2054">
            <v>45785</v>
          </cell>
          <cell r="C2054">
            <v>246</v>
          </cell>
          <cell r="D2054" t="str">
            <v>Scott_Brennon_25</v>
          </cell>
        </row>
        <row r="2055">
          <cell r="B2055">
            <v>45785</v>
          </cell>
          <cell r="C2055">
            <v>266.8</v>
          </cell>
          <cell r="D2055" t="str">
            <v>Slater_Luke_25</v>
          </cell>
        </row>
        <row r="2056">
          <cell r="B2056">
            <v>45785</v>
          </cell>
          <cell r="C2056">
            <v>191.2</v>
          </cell>
          <cell r="D2056" t="str">
            <v>Smith_Onterrio_25</v>
          </cell>
        </row>
        <row r="2057">
          <cell r="B2057">
            <v>45785</v>
          </cell>
          <cell r="C2057">
            <v>191.4</v>
          </cell>
          <cell r="D2057" t="str">
            <v>Solis_Jojo_25</v>
          </cell>
        </row>
        <row r="2058">
          <cell r="B2058">
            <v>45785</v>
          </cell>
          <cell r="C2058">
            <v>306</v>
          </cell>
          <cell r="D2058" t="str">
            <v>Soto_Jose_25</v>
          </cell>
        </row>
        <row r="2059">
          <cell r="B2059">
            <v>45785</v>
          </cell>
          <cell r="C2059">
            <v>300</v>
          </cell>
          <cell r="D2059" t="str">
            <v>Sousa_Brandon_25</v>
          </cell>
        </row>
        <row r="2060">
          <cell r="B2060">
            <v>45785</v>
          </cell>
          <cell r="C2060">
            <v>284</v>
          </cell>
          <cell r="D2060" t="str">
            <v>Speno_Joseph_25</v>
          </cell>
        </row>
        <row r="2061">
          <cell r="B2061">
            <v>45785</v>
          </cell>
          <cell r="C2061">
            <v>306.60000000000002</v>
          </cell>
          <cell r="D2061" t="str">
            <v>Summers_Bryson_25</v>
          </cell>
        </row>
        <row r="2062">
          <cell r="B2062">
            <v>45785</v>
          </cell>
          <cell r="C2062">
            <v>278</v>
          </cell>
          <cell r="D2062" t="str">
            <v>Tagaloa_Brodie_25</v>
          </cell>
        </row>
        <row r="2063">
          <cell r="B2063">
            <v>45785</v>
          </cell>
          <cell r="C2063">
            <v>231</v>
          </cell>
          <cell r="D2063" t="str">
            <v>Tanner_Logan_25</v>
          </cell>
        </row>
        <row r="2064">
          <cell r="B2064">
            <v>45785</v>
          </cell>
          <cell r="C2064">
            <v>163.4</v>
          </cell>
          <cell r="D2064" t="str">
            <v>Taylor_Adam_25</v>
          </cell>
        </row>
        <row r="2065">
          <cell r="B2065">
            <v>45785</v>
          </cell>
          <cell r="C2065">
            <v>232.4</v>
          </cell>
          <cell r="D2065" t="str">
            <v>Vi_Pita_25</v>
          </cell>
        </row>
        <row r="2066">
          <cell r="B2066">
            <v>45785</v>
          </cell>
          <cell r="C2066">
            <v>171.8</v>
          </cell>
          <cell r="D2066" t="str">
            <v>Williams_Cardell_25</v>
          </cell>
        </row>
        <row r="2067">
          <cell r="B2067">
            <v>45785</v>
          </cell>
          <cell r="C2067">
            <v>193</v>
          </cell>
          <cell r="D2067" t="str">
            <v>Williams_Jalen_25</v>
          </cell>
        </row>
        <row r="2068">
          <cell r="B2068">
            <v>45785</v>
          </cell>
          <cell r="C2068">
            <v>217.4</v>
          </cell>
          <cell r="D2068" t="str">
            <v>Williams_Jordan_25</v>
          </cell>
        </row>
        <row r="2069">
          <cell r="B2069">
            <v>45785</v>
          </cell>
          <cell r="C2069">
            <v>246.6</v>
          </cell>
          <cell r="D2069" t="str">
            <v>Williams_Xavier_25</v>
          </cell>
        </row>
        <row r="2070">
          <cell r="B2070">
            <v>45785</v>
          </cell>
          <cell r="C2070">
            <v>219.6</v>
          </cell>
          <cell r="D2070" t="str">
            <v>Wilson_Jace_25</v>
          </cell>
        </row>
        <row r="2071">
          <cell r="B2071">
            <v>45782</v>
          </cell>
          <cell r="C2071">
            <v>292.60000000000002</v>
          </cell>
          <cell r="D2071" t="str">
            <v>Abdullah_Dean_25</v>
          </cell>
        </row>
        <row r="2072">
          <cell r="B2072">
            <v>45782</v>
          </cell>
          <cell r="C2072">
            <v>192.2</v>
          </cell>
          <cell r="D2072" t="str">
            <v>Akui_Koa_25</v>
          </cell>
        </row>
        <row r="2073">
          <cell r="B2073">
            <v>45782</v>
          </cell>
          <cell r="C2073">
            <v>262.60000000000002</v>
          </cell>
          <cell r="D2073" t="str">
            <v>Ambuehl_Davis_25</v>
          </cell>
        </row>
        <row r="2074">
          <cell r="B2074">
            <v>45782</v>
          </cell>
          <cell r="C2074">
            <v>207.6</v>
          </cell>
          <cell r="D2074" t="str">
            <v>Anderson_Hayden_25</v>
          </cell>
        </row>
        <row r="2075">
          <cell r="B2075">
            <v>45782</v>
          </cell>
          <cell r="C2075">
            <v>174</v>
          </cell>
          <cell r="D2075" t="str">
            <v>Anderson_Jordan_25</v>
          </cell>
        </row>
        <row r="2076">
          <cell r="B2076">
            <v>45782</v>
          </cell>
          <cell r="C2076">
            <v>282.8</v>
          </cell>
          <cell r="D2076" t="str">
            <v>Bailey_Miles_25</v>
          </cell>
        </row>
        <row r="2077">
          <cell r="B2077">
            <v>45782</v>
          </cell>
          <cell r="C2077">
            <v>217.6</v>
          </cell>
          <cell r="D2077" t="str">
            <v>Boeddeker_Hunter_25</v>
          </cell>
        </row>
        <row r="2078">
          <cell r="B2078">
            <v>45782</v>
          </cell>
          <cell r="C2078">
            <v>186</v>
          </cell>
          <cell r="D2078" t="str">
            <v>Borders_Curron_25</v>
          </cell>
        </row>
        <row r="2079">
          <cell r="B2079">
            <v>45782</v>
          </cell>
          <cell r="C2079">
            <v>161</v>
          </cell>
          <cell r="D2079" t="str">
            <v>Bryant_Ajon_25</v>
          </cell>
        </row>
        <row r="2080">
          <cell r="B2080">
            <v>45782</v>
          </cell>
          <cell r="C2080">
            <v>223.4</v>
          </cell>
          <cell r="D2080" t="str">
            <v>Cashiola_Josh_25</v>
          </cell>
        </row>
        <row r="2081">
          <cell r="B2081">
            <v>45782</v>
          </cell>
          <cell r="C2081">
            <v>160</v>
          </cell>
          <cell r="D2081" t="str">
            <v>Conerly_Tim_25</v>
          </cell>
        </row>
        <row r="2082">
          <cell r="B2082">
            <v>45782</v>
          </cell>
          <cell r="C2082">
            <v>173.4</v>
          </cell>
          <cell r="D2082" t="str">
            <v>Curtis_Jamar_25</v>
          </cell>
        </row>
        <row r="2083">
          <cell r="B2083">
            <v>45782</v>
          </cell>
          <cell r="C2083">
            <v>233.4</v>
          </cell>
          <cell r="D2083" t="str">
            <v>Davis_Diego_25</v>
          </cell>
        </row>
        <row r="2084">
          <cell r="B2084">
            <v>45782</v>
          </cell>
          <cell r="C2084">
            <v>201</v>
          </cell>
          <cell r="D2084" t="str">
            <v>Emerson_Yebrell_25</v>
          </cell>
        </row>
        <row r="2085">
          <cell r="B2085">
            <v>45782</v>
          </cell>
          <cell r="C2085">
            <v>225</v>
          </cell>
          <cell r="D2085" t="str">
            <v>Eskridge_Matthew_25</v>
          </cell>
        </row>
        <row r="2086">
          <cell r="B2086">
            <v>45782</v>
          </cell>
          <cell r="C2086">
            <v>184</v>
          </cell>
          <cell r="D2086" t="str">
            <v>Firebaugh_Joseph_25</v>
          </cell>
        </row>
        <row r="2087">
          <cell r="B2087">
            <v>45782</v>
          </cell>
          <cell r="C2087">
            <v>170.6</v>
          </cell>
          <cell r="D2087" t="str">
            <v>Fresques_Jaxon_25</v>
          </cell>
        </row>
        <row r="2088">
          <cell r="B2088">
            <v>45782</v>
          </cell>
          <cell r="C2088">
            <v>291.2</v>
          </cell>
          <cell r="D2088" t="str">
            <v>Gretlein_Cade_25</v>
          </cell>
        </row>
        <row r="2089">
          <cell r="B2089">
            <v>45782</v>
          </cell>
          <cell r="C2089">
            <v>196.6</v>
          </cell>
          <cell r="D2089" t="str">
            <v>Hammond_Rodney_25</v>
          </cell>
        </row>
        <row r="2090">
          <cell r="B2090">
            <v>45782</v>
          </cell>
          <cell r="C2090">
            <v>294.2</v>
          </cell>
          <cell r="D2090" t="str">
            <v>Hays_Sawyer_25</v>
          </cell>
        </row>
        <row r="2091">
          <cell r="B2091">
            <v>45782</v>
          </cell>
          <cell r="C2091">
            <v>210.8</v>
          </cell>
          <cell r="D2091" t="str">
            <v>Henderson_Damian_25</v>
          </cell>
        </row>
        <row r="2092">
          <cell r="B2092">
            <v>45782</v>
          </cell>
          <cell r="C2092">
            <v>198.8</v>
          </cell>
          <cell r="D2092" t="str">
            <v>Higgins_Kaleb_25</v>
          </cell>
        </row>
        <row r="2093">
          <cell r="B2093">
            <v>45782</v>
          </cell>
          <cell r="C2093">
            <v>226.4</v>
          </cell>
          <cell r="D2093" t="str">
            <v>Houston_Derek_25</v>
          </cell>
        </row>
        <row r="2094">
          <cell r="B2094">
            <v>45782</v>
          </cell>
          <cell r="C2094">
            <v>216.4</v>
          </cell>
          <cell r="D2094" t="str">
            <v>Huddle_Elijah_25</v>
          </cell>
        </row>
        <row r="2095">
          <cell r="B2095">
            <v>45782</v>
          </cell>
          <cell r="C2095">
            <v>190.8</v>
          </cell>
          <cell r="D2095" t="str">
            <v>Johnson-Burrell_Lamont_25</v>
          </cell>
        </row>
        <row r="2096">
          <cell r="B2096">
            <v>45782</v>
          </cell>
          <cell r="C2096">
            <v>208.6</v>
          </cell>
          <cell r="D2096" t="str">
            <v>Johnston_Adam_25</v>
          </cell>
        </row>
        <row r="2097">
          <cell r="B2097">
            <v>45782</v>
          </cell>
          <cell r="C2097">
            <v>295.2</v>
          </cell>
          <cell r="D2097" t="str">
            <v>Kovacs_Giovanni_25</v>
          </cell>
        </row>
        <row r="2098">
          <cell r="B2098">
            <v>45782</v>
          </cell>
          <cell r="C2098">
            <v>166.2</v>
          </cell>
          <cell r="D2098" t="str">
            <v>Lee_Ricky_25</v>
          </cell>
        </row>
        <row r="2099">
          <cell r="B2099">
            <v>45782</v>
          </cell>
          <cell r="C2099">
            <v>328</v>
          </cell>
          <cell r="D2099" t="str">
            <v>May_Davis_25</v>
          </cell>
        </row>
        <row r="2100">
          <cell r="B2100">
            <v>45782</v>
          </cell>
          <cell r="C2100">
            <v>180.6</v>
          </cell>
          <cell r="D2100" t="str">
            <v>McDaniel_Damien_25</v>
          </cell>
        </row>
        <row r="2101">
          <cell r="B2101">
            <v>45782</v>
          </cell>
          <cell r="C2101">
            <v>187.8</v>
          </cell>
          <cell r="D2101" t="str">
            <v>McDowell_Connor_25</v>
          </cell>
        </row>
        <row r="2102">
          <cell r="B2102">
            <v>45782</v>
          </cell>
          <cell r="C2102">
            <v>277</v>
          </cell>
          <cell r="D2102" t="str">
            <v>McGlothen_Jayland_25</v>
          </cell>
        </row>
        <row r="2103">
          <cell r="B2103">
            <v>45782</v>
          </cell>
          <cell r="C2103">
            <v>193.4</v>
          </cell>
          <cell r="D2103" t="str">
            <v>McGough_Cal_25</v>
          </cell>
        </row>
        <row r="2104">
          <cell r="B2104">
            <v>45782</v>
          </cell>
          <cell r="C2104">
            <v>285.2</v>
          </cell>
          <cell r="D2104" t="str">
            <v>McKay_Richard_25</v>
          </cell>
        </row>
        <row r="2105">
          <cell r="B2105">
            <v>45782</v>
          </cell>
          <cell r="C2105">
            <v>192.6</v>
          </cell>
          <cell r="D2105" t="str">
            <v>McKenzie_Anta'Veon_25</v>
          </cell>
        </row>
        <row r="2106">
          <cell r="B2106">
            <v>45782</v>
          </cell>
          <cell r="C2106">
            <v>183.8</v>
          </cell>
          <cell r="D2106" t="str">
            <v>Meadors_Grant_25</v>
          </cell>
        </row>
        <row r="2107">
          <cell r="B2107">
            <v>45782</v>
          </cell>
          <cell r="C2107">
            <v>295.39999999999998</v>
          </cell>
          <cell r="D2107" t="str">
            <v>Meek_Aidan_25</v>
          </cell>
        </row>
        <row r="2108">
          <cell r="B2108">
            <v>45782</v>
          </cell>
          <cell r="C2108">
            <v>175</v>
          </cell>
          <cell r="D2108" t="str">
            <v>Mullican_Elias_25</v>
          </cell>
        </row>
        <row r="2109">
          <cell r="B2109">
            <v>45782</v>
          </cell>
          <cell r="C2109">
            <v>191.8</v>
          </cell>
          <cell r="D2109" t="str">
            <v>NA</v>
          </cell>
        </row>
        <row r="2110">
          <cell r="B2110">
            <v>45782</v>
          </cell>
          <cell r="C2110">
            <v>230.6</v>
          </cell>
          <cell r="D2110" t="str">
            <v>Nelson_Gavin_25</v>
          </cell>
        </row>
        <row r="2111">
          <cell r="B2111">
            <v>45782</v>
          </cell>
          <cell r="C2111">
            <v>264.8</v>
          </cell>
          <cell r="D2111" t="str">
            <v>Norris_Sammy_25</v>
          </cell>
        </row>
        <row r="2112">
          <cell r="B2112">
            <v>45782</v>
          </cell>
          <cell r="C2112">
            <v>171.2</v>
          </cell>
          <cell r="D2112" t="str">
            <v>Oliver_Jason_25</v>
          </cell>
        </row>
        <row r="2113">
          <cell r="B2113">
            <v>45782</v>
          </cell>
          <cell r="C2113">
            <v>303.8</v>
          </cell>
          <cell r="D2113" t="str">
            <v>Ortiz_Elijah_25</v>
          </cell>
        </row>
        <row r="2114">
          <cell r="B2114">
            <v>45782</v>
          </cell>
          <cell r="C2114">
            <v>225.6</v>
          </cell>
          <cell r="D2114" t="str">
            <v>Puloka_Fata_25</v>
          </cell>
        </row>
        <row r="2115">
          <cell r="B2115">
            <v>45782</v>
          </cell>
          <cell r="C2115">
            <v>322.60000000000002</v>
          </cell>
          <cell r="D2115" t="str">
            <v>Riley_Kenndel_25</v>
          </cell>
        </row>
        <row r="2116">
          <cell r="B2116">
            <v>45782</v>
          </cell>
          <cell r="C2116">
            <v>215.8</v>
          </cell>
          <cell r="D2116" t="str">
            <v>Rocha_Alex_25</v>
          </cell>
        </row>
        <row r="2117">
          <cell r="B2117">
            <v>45782</v>
          </cell>
          <cell r="C2117">
            <v>246</v>
          </cell>
          <cell r="D2117" t="str">
            <v>Scott_Brennon_25</v>
          </cell>
        </row>
        <row r="2118">
          <cell r="B2118">
            <v>45782</v>
          </cell>
          <cell r="C2118">
            <v>264.2</v>
          </cell>
          <cell r="D2118" t="str">
            <v>Slater_Luke_25</v>
          </cell>
        </row>
        <row r="2119">
          <cell r="B2119">
            <v>45782</v>
          </cell>
          <cell r="C2119">
            <v>192</v>
          </cell>
          <cell r="D2119" t="str">
            <v>Smith_Onterrio_25</v>
          </cell>
        </row>
        <row r="2120">
          <cell r="B2120">
            <v>45782</v>
          </cell>
          <cell r="C2120">
            <v>193</v>
          </cell>
          <cell r="D2120" t="str">
            <v>Solis_Jojo_25</v>
          </cell>
        </row>
        <row r="2121">
          <cell r="B2121">
            <v>45782</v>
          </cell>
          <cell r="C2121">
            <v>305</v>
          </cell>
          <cell r="D2121" t="str">
            <v>Soto_Jose_25</v>
          </cell>
        </row>
        <row r="2122">
          <cell r="B2122">
            <v>45782</v>
          </cell>
          <cell r="C2122">
            <v>298.8</v>
          </cell>
          <cell r="D2122" t="str">
            <v>Sousa_Brandon_25</v>
          </cell>
        </row>
        <row r="2123">
          <cell r="B2123">
            <v>45782</v>
          </cell>
          <cell r="C2123">
            <v>285.39999999999998</v>
          </cell>
          <cell r="D2123" t="str">
            <v>Speno_Joseph_25</v>
          </cell>
        </row>
        <row r="2124">
          <cell r="B2124">
            <v>45782</v>
          </cell>
          <cell r="C2124">
            <v>306.2</v>
          </cell>
          <cell r="D2124" t="str">
            <v>Summers_Bryson_25</v>
          </cell>
        </row>
        <row r="2125">
          <cell r="B2125">
            <v>45782</v>
          </cell>
          <cell r="C2125">
            <v>280</v>
          </cell>
          <cell r="D2125" t="str">
            <v>Tagaloa_Brodie_25</v>
          </cell>
        </row>
        <row r="2126">
          <cell r="B2126">
            <v>45782</v>
          </cell>
          <cell r="C2126">
            <v>231.2</v>
          </cell>
          <cell r="D2126" t="str">
            <v>Tanner_Logan_25</v>
          </cell>
        </row>
        <row r="2127">
          <cell r="B2127">
            <v>45782</v>
          </cell>
          <cell r="C2127">
            <v>160</v>
          </cell>
          <cell r="D2127" t="str">
            <v>Taylor_Adam_25</v>
          </cell>
        </row>
        <row r="2128">
          <cell r="B2128">
            <v>45782</v>
          </cell>
          <cell r="C2128">
            <v>234.4</v>
          </cell>
          <cell r="D2128" t="str">
            <v>Vi_Pita_25</v>
          </cell>
        </row>
        <row r="2129">
          <cell r="B2129">
            <v>45782</v>
          </cell>
          <cell r="C2129">
            <v>167.8</v>
          </cell>
          <cell r="D2129" t="str">
            <v>Williams_Cardell_25</v>
          </cell>
        </row>
        <row r="2130">
          <cell r="B2130">
            <v>45782</v>
          </cell>
          <cell r="C2130">
            <v>194.6</v>
          </cell>
          <cell r="D2130" t="str">
            <v>Williams_Jalen_25</v>
          </cell>
        </row>
        <row r="2131">
          <cell r="B2131">
            <v>45782</v>
          </cell>
          <cell r="C2131">
            <v>221.4</v>
          </cell>
          <cell r="D2131" t="str">
            <v>Williams_Jordan_25</v>
          </cell>
        </row>
        <row r="2132">
          <cell r="B2132">
            <v>45782</v>
          </cell>
          <cell r="C2132">
            <v>249</v>
          </cell>
          <cell r="D2132" t="str">
            <v>Williams_Xavier_25</v>
          </cell>
        </row>
        <row r="2133">
          <cell r="B2133">
            <v>45782</v>
          </cell>
          <cell r="C2133">
            <v>216.2</v>
          </cell>
          <cell r="D2133" t="str">
            <v>Wilson_Jace_25</v>
          </cell>
        </row>
        <row r="2134">
          <cell r="B2134">
            <v>45778</v>
          </cell>
          <cell r="C2134">
            <v>293.2</v>
          </cell>
          <cell r="D2134" t="str">
            <v>Abdullah_Dean_25</v>
          </cell>
        </row>
        <row r="2135">
          <cell r="B2135">
            <v>45778</v>
          </cell>
          <cell r="C2135">
            <v>189.2</v>
          </cell>
          <cell r="D2135" t="str">
            <v>Akui_Koa_25</v>
          </cell>
        </row>
        <row r="2136">
          <cell r="B2136">
            <v>45778</v>
          </cell>
          <cell r="C2136">
            <v>259.60000000000002</v>
          </cell>
          <cell r="D2136" t="str">
            <v>Ambuehl_Davis_25</v>
          </cell>
        </row>
        <row r="2137">
          <cell r="B2137">
            <v>45778</v>
          </cell>
          <cell r="C2137">
            <v>207.6</v>
          </cell>
          <cell r="D2137" t="str">
            <v>Anderson_Hayden_25</v>
          </cell>
        </row>
        <row r="2138">
          <cell r="B2138">
            <v>45778</v>
          </cell>
          <cell r="C2138">
            <v>167.6</v>
          </cell>
          <cell r="D2138" t="str">
            <v>Anderson_Jordan_25</v>
          </cell>
        </row>
        <row r="2139">
          <cell r="B2139">
            <v>45778</v>
          </cell>
          <cell r="C2139">
            <v>281.60000000000002</v>
          </cell>
          <cell r="D2139" t="str">
            <v>Bailey_Miles_25</v>
          </cell>
        </row>
        <row r="2140">
          <cell r="B2140">
            <v>45778</v>
          </cell>
          <cell r="C2140">
            <v>217</v>
          </cell>
          <cell r="D2140" t="str">
            <v>Boeddeker_Hunter_25</v>
          </cell>
        </row>
        <row r="2141">
          <cell r="B2141">
            <v>45778</v>
          </cell>
          <cell r="C2141">
            <v>187.2</v>
          </cell>
          <cell r="D2141" t="str">
            <v>Borders_Curron_25</v>
          </cell>
        </row>
        <row r="2142">
          <cell r="B2142">
            <v>45778</v>
          </cell>
          <cell r="C2142">
            <v>159.6</v>
          </cell>
          <cell r="D2142" t="str">
            <v>Bryant_Ajon_25</v>
          </cell>
        </row>
        <row r="2143">
          <cell r="B2143">
            <v>45778</v>
          </cell>
          <cell r="C2143">
            <v>160</v>
          </cell>
          <cell r="D2143" t="str">
            <v>Conerly_Tim_25</v>
          </cell>
        </row>
        <row r="2144">
          <cell r="B2144">
            <v>45778</v>
          </cell>
          <cell r="C2144">
            <v>170</v>
          </cell>
          <cell r="D2144" t="str">
            <v>Curtis_Jamar_25</v>
          </cell>
        </row>
        <row r="2145">
          <cell r="B2145">
            <v>45778</v>
          </cell>
          <cell r="C2145">
            <v>234</v>
          </cell>
          <cell r="D2145" t="str">
            <v>Davis_Diego_25</v>
          </cell>
        </row>
        <row r="2146">
          <cell r="B2146">
            <v>45778</v>
          </cell>
          <cell r="C2146">
            <v>197</v>
          </cell>
          <cell r="D2146" t="str">
            <v>Emerson_Yebrell_25</v>
          </cell>
        </row>
        <row r="2147">
          <cell r="B2147">
            <v>45778</v>
          </cell>
          <cell r="C2147">
            <v>226.2</v>
          </cell>
          <cell r="D2147" t="str">
            <v>Eskridge_Matthew_25</v>
          </cell>
        </row>
        <row r="2148">
          <cell r="B2148">
            <v>45778</v>
          </cell>
          <cell r="C2148">
            <v>185.4</v>
          </cell>
          <cell r="D2148" t="str">
            <v>Firebaugh_Joseph_25</v>
          </cell>
        </row>
        <row r="2149">
          <cell r="B2149">
            <v>45778</v>
          </cell>
          <cell r="C2149">
            <v>170.4</v>
          </cell>
          <cell r="D2149" t="str">
            <v>Fresques_Jaxon_25</v>
          </cell>
        </row>
        <row r="2150">
          <cell r="B2150">
            <v>45778</v>
          </cell>
          <cell r="C2150">
            <v>291.60000000000002</v>
          </cell>
          <cell r="D2150" t="str">
            <v>Gretlein_Cade_25</v>
          </cell>
        </row>
        <row r="2151">
          <cell r="B2151">
            <v>45778</v>
          </cell>
          <cell r="C2151">
            <v>195.8</v>
          </cell>
          <cell r="D2151" t="str">
            <v>Hammond_Rodney_25</v>
          </cell>
        </row>
        <row r="2152">
          <cell r="B2152">
            <v>45778</v>
          </cell>
          <cell r="C2152">
            <v>295.8</v>
          </cell>
          <cell r="D2152" t="str">
            <v>Hays_Sawyer_25</v>
          </cell>
        </row>
        <row r="2153">
          <cell r="B2153">
            <v>45778</v>
          </cell>
          <cell r="C2153">
            <v>210</v>
          </cell>
          <cell r="D2153" t="str">
            <v>Henderson_Damian_25</v>
          </cell>
        </row>
        <row r="2154">
          <cell r="B2154">
            <v>45778</v>
          </cell>
          <cell r="C2154">
            <v>199.2</v>
          </cell>
          <cell r="D2154" t="str">
            <v>Higgins_Kaleb_25</v>
          </cell>
        </row>
        <row r="2155">
          <cell r="B2155">
            <v>45778</v>
          </cell>
          <cell r="C2155">
            <v>227</v>
          </cell>
          <cell r="D2155" t="str">
            <v>Houston_Derek_25</v>
          </cell>
        </row>
        <row r="2156">
          <cell r="B2156">
            <v>45778</v>
          </cell>
          <cell r="C2156">
            <v>212.6</v>
          </cell>
          <cell r="D2156" t="str">
            <v>Huddle_Elijah_25</v>
          </cell>
        </row>
        <row r="2157">
          <cell r="B2157">
            <v>45778</v>
          </cell>
          <cell r="C2157">
            <v>185</v>
          </cell>
          <cell r="D2157" t="str">
            <v>Johnson-Burrell_Lamont_25</v>
          </cell>
        </row>
        <row r="2158">
          <cell r="B2158">
            <v>45778</v>
          </cell>
          <cell r="C2158">
            <v>210</v>
          </cell>
          <cell r="D2158" t="str">
            <v>Johnston_Adam_25</v>
          </cell>
        </row>
        <row r="2159">
          <cell r="B2159">
            <v>45778</v>
          </cell>
          <cell r="C2159">
            <v>297.2</v>
          </cell>
          <cell r="D2159" t="str">
            <v>Kovacs_Giovanni_25</v>
          </cell>
        </row>
        <row r="2160">
          <cell r="B2160">
            <v>45778</v>
          </cell>
          <cell r="C2160">
            <v>166</v>
          </cell>
          <cell r="D2160" t="str">
            <v>Lee_Ricky_25</v>
          </cell>
        </row>
        <row r="2161">
          <cell r="B2161">
            <v>45778</v>
          </cell>
          <cell r="C2161">
            <v>329</v>
          </cell>
          <cell r="D2161" t="str">
            <v>May_Davis_25</v>
          </cell>
        </row>
        <row r="2162">
          <cell r="B2162">
            <v>45778</v>
          </cell>
          <cell r="C2162">
            <v>177.6</v>
          </cell>
          <cell r="D2162" t="str">
            <v>McDaniel_Damien_25</v>
          </cell>
        </row>
        <row r="2163">
          <cell r="B2163">
            <v>45778</v>
          </cell>
          <cell r="C2163">
            <v>185.8</v>
          </cell>
          <cell r="D2163" t="str">
            <v>McDowell_Connor_25</v>
          </cell>
        </row>
        <row r="2164">
          <cell r="B2164">
            <v>45778</v>
          </cell>
          <cell r="C2164">
            <v>279.39999999999998</v>
          </cell>
          <cell r="D2164" t="str">
            <v>McGlothen_Jayland_25</v>
          </cell>
        </row>
        <row r="2165">
          <cell r="B2165">
            <v>45778</v>
          </cell>
          <cell r="C2165">
            <v>194.4</v>
          </cell>
          <cell r="D2165" t="str">
            <v>McGough_Cal_25</v>
          </cell>
        </row>
        <row r="2166">
          <cell r="B2166">
            <v>45778</v>
          </cell>
          <cell r="C2166">
            <v>284</v>
          </cell>
          <cell r="D2166" t="str">
            <v>McKay_Richard_25</v>
          </cell>
        </row>
        <row r="2167">
          <cell r="B2167">
            <v>45778</v>
          </cell>
          <cell r="C2167">
            <v>189.2</v>
          </cell>
          <cell r="D2167" t="str">
            <v>McKenzie_Anta'Veon_25</v>
          </cell>
        </row>
        <row r="2168">
          <cell r="B2168">
            <v>45778</v>
          </cell>
          <cell r="C2168">
            <v>182.6</v>
          </cell>
          <cell r="D2168" t="str">
            <v>Meadors_Grant_25</v>
          </cell>
        </row>
        <row r="2169">
          <cell r="B2169">
            <v>45778</v>
          </cell>
          <cell r="C2169">
            <v>301.60000000000002</v>
          </cell>
          <cell r="D2169" t="str">
            <v>Meek_Aidan_25</v>
          </cell>
        </row>
        <row r="2170">
          <cell r="B2170">
            <v>45778</v>
          </cell>
          <cell r="C2170">
            <v>174</v>
          </cell>
          <cell r="D2170" t="str">
            <v>Mullican_Elias_25</v>
          </cell>
        </row>
        <row r="2171">
          <cell r="B2171">
            <v>45778</v>
          </cell>
          <cell r="C2171">
            <v>193.6</v>
          </cell>
          <cell r="D2171" t="str">
            <v>NA</v>
          </cell>
        </row>
        <row r="2172">
          <cell r="B2172">
            <v>45778</v>
          </cell>
          <cell r="C2172">
            <v>232.2</v>
          </cell>
          <cell r="D2172" t="str">
            <v>Nelson_Gavin_25</v>
          </cell>
        </row>
        <row r="2173">
          <cell r="B2173">
            <v>45778</v>
          </cell>
          <cell r="C2173">
            <v>175.6</v>
          </cell>
          <cell r="D2173" t="str">
            <v>Oliver_Jason_25</v>
          </cell>
        </row>
        <row r="2174">
          <cell r="B2174">
            <v>45778</v>
          </cell>
          <cell r="C2174">
            <v>305</v>
          </cell>
          <cell r="D2174" t="str">
            <v>Ortiz_Elijah_25</v>
          </cell>
        </row>
        <row r="2175">
          <cell r="B2175">
            <v>45778</v>
          </cell>
          <cell r="C2175">
            <v>229</v>
          </cell>
          <cell r="D2175" t="str">
            <v>Puloka_Fata_25</v>
          </cell>
        </row>
        <row r="2176">
          <cell r="B2176">
            <v>45778</v>
          </cell>
          <cell r="C2176">
            <v>322.2</v>
          </cell>
          <cell r="D2176" t="str">
            <v>Riley_Kenndel_25</v>
          </cell>
        </row>
        <row r="2177">
          <cell r="B2177">
            <v>45778</v>
          </cell>
          <cell r="C2177">
            <v>213</v>
          </cell>
          <cell r="D2177" t="str">
            <v>Rocha_Alex_25</v>
          </cell>
        </row>
        <row r="2178">
          <cell r="B2178">
            <v>45778</v>
          </cell>
          <cell r="C2178">
            <v>245.8</v>
          </cell>
          <cell r="D2178" t="str">
            <v>Scott_Brennon_25</v>
          </cell>
        </row>
        <row r="2179">
          <cell r="B2179">
            <v>45778</v>
          </cell>
          <cell r="C2179">
            <v>266</v>
          </cell>
          <cell r="D2179" t="str">
            <v>Slater_Luke_25</v>
          </cell>
        </row>
        <row r="2180">
          <cell r="B2180">
            <v>45778</v>
          </cell>
          <cell r="C2180">
            <v>192.6</v>
          </cell>
          <cell r="D2180" t="str">
            <v>Smith_Onterrio_25</v>
          </cell>
        </row>
        <row r="2181">
          <cell r="B2181">
            <v>45778</v>
          </cell>
          <cell r="C2181">
            <v>191.8</v>
          </cell>
          <cell r="D2181" t="str">
            <v>Solis_Jojo_25</v>
          </cell>
        </row>
        <row r="2182">
          <cell r="B2182">
            <v>45778</v>
          </cell>
          <cell r="C2182">
            <v>305.8</v>
          </cell>
          <cell r="D2182" t="str">
            <v>Soto_Jose_25</v>
          </cell>
        </row>
        <row r="2183">
          <cell r="B2183">
            <v>45778</v>
          </cell>
          <cell r="C2183">
            <v>302</v>
          </cell>
          <cell r="D2183" t="str">
            <v>Sousa_Brandon_25</v>
          </cell>
        </row>
        <row r="2184">
          <cell r="B2184">
            <v>45778</v>
          </cell>
          <cell r="C2184">
            <v>287</v>
          </cell>
          <cell r="D2184" t="str">
            <v>Speno_Joseph_25</v>
          </cell>
        </row>
        <row r="2185">
          <cell r="B2185">
            <v>45778</v>
          </cell>
          <cell r="C2185">
            <v>308</v>
          </cell>
          <cell r="D2185" t="str">
            <v>Summers_Bryson_25</v>
          </cell>
        </row>
        <row r="2186">
          <cell r="B2186">
            <v>45778</v>
          </cell>
          <cell r="C2186">
            <v>276</v>
          </cell>
          <cell r="D2186" t="str">
            <v>Tagaloa_Brodie_25</v>
          </cell>
        </row>
        <row r="2187">
          <cell r="B2187">
            <v>45778</v>
          </cell>
          <cell r="C2187">
            <v>232</v>
          </cell>
          <cell r="D2187" t="str">
            <v>Tanner_Logan_25</v>
          </cell>
        </row>
        <row r="2188">
          <cell r="B2188">
            <v>45778</v>
          </cell>
          <cell r="C2188">
            <v>160.4</v>
          </cell>
          <cell r="D2188" t="str">
            <v>Taylor_Adam_25</v>
          </cell>
        </row>
        <row r="2189">
          <cell r="B2189">
            <v>45778</v>
          </cell>
          <cell r="C2189">
            <v>237.2</v>
          </cell>
          <cell r="D2189" t="str">
            <v>Vi_Pita_25</v>
          </cell>
        </row>
        <row r="2190">
          <cell r="B2190">
            <v>45778</v>
          </cell>
          <cell r="C2190">
            <v>193.8</v>
          </cell>
          <cell r="D2190" t="str">
            <v>Williams_Jalen_25</v>
          </cell>
        </row>
        <row r="2191">
          <cell r="B2191">
            <v>45778</v>
          </cell>
          <cell r="C2191">
            <v>220.6</v>
          </cell>
          <cell r="D2191" t="str">
            <v>Williams_Jordan_25</v>
          </cell>
        </row>
        <row r="2192">
          <cell r="B2192">
            <v>45778</v>
          </cell>
          <cell r="C2192">
            <v>249.4</v>
          </cell>
          <cell r="D2192" t="str">
            <v>Williams_Xavier_25</v>
          </cell>
        </row>
        <row r="2193">
          <cell r="B2193">
            <v>45778</v>
          </cell>
          <cell r="C2193">
            <v>215.2</v>
          </cell>
          <cell r="D2193" t="str">
            <v>Wilson_Jace_25</v>
          </cell>
        </row>
        <row r="2194">
          <cell r="B2194">
            <v>45775</v>
          </cell>
          <cell r="C2194">
            <v>294.60000000000002</v>
          </cell>
          <cell r="D2194" t="str">
            <v>Abdullah_Dean_25</v>
          </cell>
        </row>
        <row r="2195">
          <cell r="B2195">
            <v>45775</v>
          </cell>
          <cell r="C2195">
            <v>189.6</v>
          </cell>
          <cell r="D2195" t="str">
            <v>Akui_Koa_25</v>
          </cell>
        </row>
        <row r="2196">
          <cell r="B2196">
            <v>45775</v>
          </cell>
          <cell r="C2196">
            <v>262.60000000000002</v>
          </cell>
          <cell r="D2196" t="str">
            <v>Ambuehl_Davis_25</v>
          </cell>
        </row>
        <row r="2197">
          <cell r="B2197">
            <v>45775</v>
          </cell>
          <cell r="C2197">
            <v>208</v>
          </cell>
          <cell r="D2197" t="str">
            <v>Anderson_Hayden_25</v>
          </cell>
        </row>
        <row r="2198">
          <cell r="B2198">
            <v>45775</v>
          </cell>
          <cell r="C2198">
            <v>167.6</v>
          </cell>
          <cell r="D2198" t="str">
            <v>Anderson_Jordan_25</v>
          </cell>
        </row>
        <row r="2199">
          <cell r="B2199">
            <v>45775</v>
          </cell>
          <cell r="C2199">
            <v>281.60000000000002</v>
          </cell>
          <cell r="D2199" t="str">
            <v>Bailey_Miles_25</v>
          </cell>
        </row>
        <row r="2200">
          <cell r="B2200">
            <v>45775</v>
          </cell>
          <cell r="C2200">
            <v>216.6</v>
          </cell>
          <cell r="D2200" t="str">
            <v>Boeddeker_Hunter_25</v>
          </cell>
        </row>
        <row r="2201">
          <cell r="B2201">
            <v>45775</v>
          </cell>
          <cell r="C2201">
            <v>184.8</v>
          </cell>
          <cell r="D2201" t="str">
            <v>Borders_Curron_25</v>
          </cell>
        </row>
        <row r="2202">
          <cell r="B2202">
            <v>45775</v>
          </cell>
          <cell r="C2202">
            <v>160.19999999999999</v>
          </cell>
          <cell r="D2202" t="str">
            <v>Bryant_Ajon_25</v>
          </cell>
        </row>
        <row r="2203">
          <cell r="B2203">
            <v>45775</v>
          </cell>
          <cell r="C2203">
            <v>229.2</v>
          </cell>
          <cell r="D2203" t="str">
            <v>Cashiola_Josh_25</v>
          </cell>
        </row>
        <row r="2204">
          <cell r="B2204">
            <v>45775</v>
          </cell>
          <cell r="C2204">
            <v>157.4</v>
          </cell>
          <cell r="D2204" t="str">
            <v>Conerly_Tim_25</v>
          </cell>
        </row>
        <row r="2205">
          <cell r="B2205">
            <v>45775</v>
          </cell>
          <cell r="C2205">
            <v>168</v>
          </cell>
          <cell r="D2205" t="str">
            <v>Curtis_Jamar_25</v>
          </cell>
        </row>
        <row r="2206">
          <cell r="B2206">
            <v>45775</v>
          </cell>
          <cell r="C2206">
            <v>232.6</v>
          </cell>
          <cell r="D2206" t="str">
            <v>Davis_Diego_25</v>
          </cell>
        </row>
        <row r="2207">
          <cell r="B2207">
            <v>45775</v>
          </cell>
          <cell r="C2207">
            <v>199.8</v>
          </cell>
          <cell r="D2207" t="str">
            <v>Emerson_Yebrell_25</v>
          </cell>
        </row>
        <row r="2208">
          <cell r="B2208">
            <v>45775</v>
          </cell>
          <cell r="C2208">
            <v>228.8</v>
          </cell>
          <cell r="D2208" t="str">
            <v>Eskridge_Matthew_25</v>
          </cell>
        </row>
        <row r="2209">
          <cell r="B2209">
            <v>45775</v>
          </cell>
          <cell r="C2209">
            <v>184.6</v>
          </cell>
          <cell r="D2209" t="str">
            <v>Firebaugh_Joseph_25</v>
          </cell>
        </row>
        <row r="2210">
          <cell r="B2210">
            <v>45775</v>
          </cell>
          <cell r="C2210">
            <v>170.2</v>
          </cell>
          <cell r="D2210" t="str">
            <v>Fresques_Jaxon_25</v>
          </cell>
        </row>
        <row r="2211">
          <cell r="B2211">
            <v>45775</v>
          </cell>
          <cell r="C2211">
            <v>293.8</v>
          </cell>
          <cell r="D2211" t="str">
            <v>Gretlein_Cade_25</v>
          </cell>
        </row>
        <row r="2212">
          <cell r="B2212">
            <v>45775</v>
          </cell>
          <cell r="C2212">
            <v>197.2</v>
          </cell>
          <cell r="D2212" t="str">
            <v>Hammond_Rodney_25</v>
          </cell>
        </row>
        <row r="2213">
          <cell r="B2213">
            <v>45775</v>
          </cell>
          <cell r="C2213">
            <v>292.8</v>
          </cell>
          <cell r="D2213" t="str">
            <v>Hays_Sawyer_25</v>
          </cell>
        </row>
        <row r="2214">
          <cell r="B2214">
            <v>45775</v>
          </cell>
          <cell r="C2214">
            <v>210</v>
          </cell>
          <cell r="D2214" t="str">
            <v>Henderson_Damian_25</v>
          </cell>
        </row>
        <row r="2215">
          <cell r="B2215">
            <v>45775</v>
          </cell>
          <cell r="C2215">
            <v>201.8</v>
          </cell>
          <cell r="D2215" t="str">
            <v>Higgins_Kaleb_25</v>
          </cell>
        </row>
        <row r="2216">
          <cell r="B2216">
            <v>45775</v>
          </cell>
          <cell r="C2216">
            <v>227</v>
          </cell>
          <cell r="D2216" t="str">
            <v>Houston_Derek_25</v>
          </cell>
        </row>
        <row r="2217">
          <cell r="B2217">
            <v>45775</v>
          </cell>
          <cell r="C2217">
            <v>212</v>
          </cell>
          <cell r="D2217" t="str">
            <v>Huddle_Elijah_25</v>
          </cell>
        </row>
        <row r="2218">
          <cell r="B2218">
            <v>45775</v>
          </cell>
          <cell r="C2218">
            <v>183.6</v>
          </cell>
          <cell r="D2218" t="str">
            <v>Johnson-Burrell_Lamont_25</v>
          </cell>
        </row>
        <row r="2219">
          <cell r="B2219">
            <v>45775</v>
          </cell>
          <cell r="C2219">
            <v>209.4</v>
          </cell>
          <cell r="D2219" t="str">
            <v>Johnston_Adam_25</v>
          </cell>
        </row>
        <row r="2220">
          <cell r="B2220">
            <v>45775</v>
          </cell>
          <cell r="C2220">
            <v>294.2</v>
          </cell>
          <cell r="D2220" t="str">
            <v>Kovacs_Giovanni_25</v>
          </cell>
        </row>
        <row r="2221">
          <cell r="B2221">
            <v>45775</v>
          </cell>
          <cell r="C2221">
            <v>165</v>
          </cell>
          <cell r="D2221" t="str">
            <v>Lee_Ricky_25</v>
          </cell>
        </row>
        <row r="2222">
          <cell r="B2222">
            <v>45775</v>
          </cell>
          <cell r="C2222">
            <v>332</v>
          </cell>
          <cell r="D2222" t="str">
            <v>May_Davis_25</v>
          </cell>
        </row>
        <row r="2223">
          <cell r="B2223">
            <v>45775</v>
          </cell>
          <cell r="C2223">
            <v>177</v>
          </cell>
          <cell r="D2223" t="str">
            <v>McDaniel_Damien_25</v>
          </cell>
        </row>
        <row r="2224">
          <cell r="B2224">
            <v>45775</v>
          </cell>
          <cell r="C2224">
            <v>187.4</v>
          </cell>
          <cell r="D2224" t="str">
            <v>McDowell_Connor_25</v>
          </cell>
        </row>
        <row r="2225">
          <cell r="B2225">
            <v>45775</v>
          </cell>
          <cell r="C2225">
            <v>281.60000000000002</v>
          </cell>
          <cell r="D2225" t="str">
            <v>McGlothen_Jayland_25</v>
          </cell>
        </row>
        <row r="2226">
          <cell r="B2226">
            <v>45775</v>
          </cell>
          <cell r="C2226">
            <v>196.2</v>
          </cell>
          <cell r="D2226" t="str">
            <v>McGough_Cal_25</v>
          </cell>
        </row>
        <row r="2227">
          <cell r="B2227">
            <v>45775</v>
          </cell>
          <cell r="C2227">
            <v>288.60000000000002</v>
          </cell>
          <cell r="D2227" t="str">
            <v>McKay_Richard_25</v>
          </cell>
        </row>
        <row r="2228">
          <cell r="B2228">
            <v>45775</v>
          </cell>
          <cell r="C2228">
            <v>187.8</v>
          </cell>
          <cell r="D2228" t="str">
            <v>McKenzie_Anta'Veon_25</v>
          </cell>
        </row>
        <row r="2229">
          <cell r="B2229">
            <v>45775</v>
          </cell>
          <cell r="C2229">
            <v>183.6</v>
          </cell>
          <cell r="D2229" t="str">
            <v>Meadors_Grant_25</v>
          </cell>
        </row>
        <row r="2230">
          <cell r="B2230">
            <v>45775</v>
          </cell>
          <cell r="C2230">
            <v>298.60000000000002</v>
          </cell>
          <cell r="D2230" t="str">
            <v>Meek_Aidan_25</v>
          </cell>
        </row>
        <row r="2231">
          <cell r="B2231">
            <v>45775</v>
          </cell>
          <cell r="C2231">
            <v>174.4</v>
          </cell>
          <cell r="D2231" t="str">
            <v>Mullican_Elias_25</v>
          </cell>
        </row>
        <row r="2232">
          <cell r="B2232">
            <v>45775</v>
          </cell>
          <cell r="C2232">
            <v>194.4</v>
          </cell>
          <cell r="D2232" t="str">
            <v>NA</v>
          </cell>
        </row>
        <row r="2233">
          <cell r="B2233">
            <v>45775</v>
          </cell>
          <cell r="C2233">
            <v>231</v>
          </cell>
          <cell r="D2233" t="str">
            <v>Nelson_Gavin_25</v>
          </cell>
        </row>
        <row r="2234">
          <cell r="B2234">
            <v>45775</v>
          </cell>
          <cell r="C2234">
            <v>267.60000000000002</v>
          </cell>
          <cell r="D2234" t="str">
            <v>Norris_Sammy_25</v>
          </cell>
        </row>
        <row r="2235">
          <cell r="B2235">
            <v>45775</v>
          </cell>
          <cell r="C2235">
            <v>176.6</v>
          </cell>
          <cell r="D2235" t="str">
            <v>Oliver_Jason_25</v>
          </cell>
        </row>
        <row r="2236">
          <cell r="B2236">
            <v>45775</v>
          </cell>
          <cell r="C2236">
            <v>306.60000000000002</v>
          </cell>
          <cell r="D2236" t="str">
            <v>Ortiz_Elijah_25</v>
          </cell>
        </row>
        <row r="2237">
          <cell r="B2237">
            <v>45775</v>
          </cell>
          <cell r="C2237">
            <v>227.2</v>
          </cell>
          <cell r="D2237" t="str">
            <v>Puloka_Fata_25</v>
          </cell>
        </row>
        <row r="2238">
          <cell r="B2238">
            <v>45775</v>
          </cell>
          <cell r="C2238">
            <v>264.8</v>
          </cell>
          <cell r="D2238" t="str">
            <v>Riley_Kenndel_25</v>
          </cell>
        </row>
        <row r="2239">
          <cell r="B2239">
            <v>45775</v>
          </cell>
          <cell r="C2239">
            <v>216</v>
          </cell>
          <cell r="D2239" t="str">
            <v>Rocha_Alex_25</v>
          </cell>
        </row>
        <row r="2240">
          <cell r="B2240">
            <v>45775</v>
          </cell>
          <cell r="C2240">
            <v>246.8</v>
          </cell>
          <cell r="D2240" t="str">
            <v>Scott_Brennon_25</v>
          </cell>
        </row>
        <row r="2241">
          <cell r="B2241">
            <v>45775</v>
          </cell>
          <cell r="C2241">
            <v>305</v>
          </cell>
          <cell r="D2241" t="str">
            <v>Slater_Luke_25</v>
          </cell>
        </row>
        <row r="2242">
          <cell r="B2242">
            <v>45775</v>
          </cell>
          <cell r="C2242">
            <v>191.8</v>
          </cell>
          <cell r="D2242" t="str">
            <v>Smith_Onterrio_25</v>
          </cell>
        </row>
        <row r="2243">
          <cell r="B2243">
            <v>45775</v>
          </cell>
          <cell r="C2243">
            <v>191.2</v>
          </cell>
          <cell r="D2243" t="str">
            <v>Solis_Jojo_25</v>
          </cell>
        </row>
        <row r="2244">
          <cell r="B2244">
            <v>45775</v>
          </cell>
          <cell r="C2244">
            <v>304</v>
          </cell>
          <cell r="D2244" t="str">
            <v>Soto_Jose_25</v>
          </cell>
        </row>
        <row r="2245">
          <cell r="B2245">
            <v>45775</v>
          </cell>
          <cell r="C2245">
            <v>284.2</v>
          </cell>
          <cell r="D2245" t="str">
            <v>Sousa_Brandon_25</v>
          </cell>
        </row>
        <row r="2246">
          <cell r="B2246">
            <v>45775</v>
          </cell>
          <cell r="C2246">
            <v>302.8</v>
          </cell>
          <cell r="D2246" t="str">
            <v>Speno_Joseph_25</v>
          </cell>
        </row>
        <row r="2247">
          <cell r="B2247">
            <v>45775</v>
          </cell>
          <cell r="C2247">
            <v>278</v>
          </cell>
          <cell r="D2247" t="str">
            <v>Tagaloa_Brodie_25</v>
          </cell>
        </row>
        <row r="2248">
          <cell r="B2248">
            <v>45775</v>
          </cell>
          <cell r="C2248">
            <v>231.8</v>
          </cell>
          <cell r="D2248" t="str">
            <v>Tanner_Logan_25</v>
          </cell>
        </row>
        <row r="2249">
          <cell r="B2249">
            <v>45775</v>
          </cell>
          <cell r="C2249">
            <v>160</v>
          </cell>
          <cell r="D2249" t="str">
            <v>Taylor_Adam_25</v>
          </cell>
        </row>
        <row r="2250">
          <cell r="B2250">
            <v>45775</v>
          </cell>
          <cell r="C2250">
            <v>236.2</v>
          </cell>
          <cell r="D2250" t="str">
            <v>Vi_Pita_25</v>
          </cell>
        </row>
        <row r="2251">
          <cell r="B2251">
            <v>45775</v>
          </cell>
          <cell r="C2251">
            <v>194.8</v>
          </cell>
          <cell r="D2251" t="str">
            <v>Williams_Jalen_25</v>
          </cell>
        </row>
        <row r="2252">
          <cell r="B2252">
            <v>45775</v>
          </cell>
          <cell r="C2252">
            <v>218.6</v>
          </cell>
          <cell r="D2252" t="str">
            <v>Williams_Jordan_25</v>
          </cell>
        </row>
        <row r="2253">
          <cell r="B2253">
            <v>45775</v>
          </cell>
          <cell r="C2253">
            <v>247.6</v>
          </cell>
          <cell r="D2253" t="str">
            <v>Williams_Xavier_25</v>
          </cell>
        </row>
        <row r="2254">
          <cell r="B2254">
            <v>45775</v>
          </cell>
          <cell r="C2254">
            <v>214</v>
          </cell>
          <cell r="D2254" t="str">
            <v>Wilson_Jace_25</v>
          </cell>
        </row>
        <row r="2255">
          <cell r="B2255">
            <v>45771</v>
          </cell>
          <cell r="C2255">
            <v>293.2</v>
          </cell>
          <cell r="D2255" t="str">
            <v>Abdullah_Dean_25</v>
          </cell>
        </row>
        <row r="2256">
          <cell r="B2256">
            <v>45771</v>
          </cell>
          <cell r="C2256">
            <v>190.4</v>
          </cell>
          <cell r="D2256" t="str">
            <v>Akui_Koa_25</v>
          </cell>
        </row>
        <row r="2257">
          <cell r="B2257">
            <v>45771</v>
          </cell>
          <cell r="C2257">
            <v>268.8</v>
          </cell>
          <cell r="D2257" t="str">
            <v>Ambuehl_Davis_25</v>
          </cell>
        </row>
        <row r="2258">
          <cell r="B2258">
            <v>45771</v>
          </cell>
          <cell r="C2258">
            <v>208.6</v>
          </cell>
          <cell r="D2258" t="str">
            <v>Anderson_Hayden_25</v>
          </cell>
        </row>
        <row r="2259">
          <cell r="B2259">
            <v>45771</v>
          </cell>
          <cell r="C2259">
            <v>166</v>
          </cell>
          <cell r="D2259" t="str">
            <v>Anderson_Jordan_25</v>
          </cell>
        </row>
        <row r="2260">
          <cell r="B2260">
            <v>45771</v>
          </cell>
          <cell r="C2260">
            <v>283</v>
          </cell>
          <cell r="D2260" t="str">
            <v>Bailey_Miles_25</v>
          </cell>
        </row>
        <row r="2261">
          <cell r="B2261">
            <v>45771</v>
          </cell>
          <cell r="C2261">
            <v>218.2</v>
          </cell>
          <cell r="D2261" t="str">
            <v>Boeddeker_Hunter_25</v>
          </cell>
        </row>
        <row r="2262">
          <cell r="B2262">
            <v>45771</v>
          </cell>
          <cell r="C2262">
            <v>186</v>
          </cell>
          <cell r="D2262" t="str">
            <v>Borders_Curron_25</v>
          </cell>
        </row>
        <row r="2263">
          <cell r="B2263">
            <v>45771</v>
          </cell>
          <cell r="C2263">
            <v>159</v>
          </cell>
          <cell r="D2263" t="str">
            <v>Bryant_Ajon_25</v>
          </cell>
        </row>
        <row r="2264">
          <cell r="B2264">
            <v>45771</v>
          </cell>
          <cell r="C2264">
            <v>229</v>
          </cell>
          <cell r="D2264" t="str">
            <v>Cashiola_Josh_25</v>
          </cell>
        </row>
        <row r="2265">
          <cell r="B2265">
            <v>45771</v>
          </cell>
          <cell r="C2265">
            <v>160.19999999999999</v>
          </cell>
          <cell r="D2265" t="str">
            <v>Conerly_Tim_25</v>
          </cell>
        </row>
        <row r="2266">
          <cell r="B2266">
            <v>45771</v>
          </cell>
          <cell r="C2266">
            <v>170.6</v>
          </cell>
          <cell r="D2266" t="str">
            <v>Curtis_Jamar_25</v>
          </cell>
        </row>
        <row r="2267">
          <cell r="B2267">
            <v>45771</v>
          </cell>
          <cell r="C2267">
            <v>233.4</v>
          </cell>
          <cell r="D2267" t="str">
            <v>Davis_Diego_25</v>
          </cell>
        </row>
        <row r="2268">
          <cell r="B2268">
            <v>45771</v>
          </cell>
          <cell r="C2268">
            <v>198.2</v>
          </cell>
          <cell r="D2268" t="str">
            <v>Emerson_Yebrell_25</v>
          </cell>
        </row>
        <row r="2269">
          <cell r="B2269">
            <v>45771</v>
          </cell>
          <cell r="C2269">
            <v>227.4</v>
          </cell>
          <cell r="D2269" t="str">
            <v>Eskridge_Matthew_25</v>
          </cell>
        </row>
        <row r="2270">
          <cell r="B2270">
            <v>45771</v>
          </cell>
          <cell r="C2270">
            <v>185</v>
          </cell>
          <cell r="D2270" t="str">
            <v>Firebaugh_Joseph_25</v>
          </cell>
        </row>
        <row r="2271">
          <cell r="B2271">
            <v>45771</v>
          </cell>
          <cell r="C2271">
            <v>171</v>
          </cell>
          <cell r="D2271" t="str">
            <v>Fresques_Jaxon_25</v>
          </cell>
        </row>
        <row r="2272">
          <cell r="B2272">
            <v>45771</v>
          </cell>
          <cell r="C2272">
            <v>294</v>
          </cell>
          <cell r="D2272" t="str">
            <v>Gretlein_Cade_25</v>
          </cell>
        </row>
        <row r="2273">
          <cell r="B2273">
            <v>45771</v>
          </cell>
          <cell r="C2273">
            <v>292.2</v>
          </cell>
          <cell r="D2273" t="str">
            <v>Hays_Sawyer_25</v>
          </cell>
        </row>
        <row r="2274">
          <cell r="B2274">
            <v>45771</v>
          </cell>
          <cell r="C2274">
            <v>210</v>
          </cell>
          <cell r="D2274" t="str">
            <v>Henderson_Damian_25</v>
          </cell>
        </row>
        <row r="2275">
          <cell r="B2275">
            <v>45771</v>
          </cell>
          <cell r="C2275">
            <v>196</v>
          </cell>
          <cell r="D2275" t="str">
            <v>Higgins_Kaleb_25</v>
          </cell>
        </row>
        <row r="2276">
          <cell r="B2276">
            <v>45771</v>
          </cell>
          <cell r="C2276">
            <v>224.4</v>
          </cell>
          <cell r="D2276" t="str">
            <v>Houston_Derek_25</v>
          </cell>
        </row>
        <row r="2277">
          <cell r="B2277">
            <v>45771</v>
          </cell>
          <cell r="C2277">
            <v>210</v>
          </cell>
          <cell r="D2277" t="str">
            <v>Huddle_Elijah_25</v>
          </cell>
        </row>
        <row r="2278">
          <cell r="B2278">
            <v>45771</v>
          </cell>
          <cell r="C2278">
            <v>186.2</v>
          </cell>
          <cell r="D2278" t="str">
            <v>Johnson-Burrell_Lamont_25</v>
          </cell>
        </row>
        <row r="2279">
          <cell r="B2279">
            <v>45771</v>
          </cell>
          <cell r="C2279">
            <v>296.8</v>
          </cell>
          <cell r="D2279" t="str">
            <v>Kovacs_Giovanni_25</v>
          </cell>
        </row>
        <row r="2280">
          <cell r="B2280">
            <v>45771</v>
          </cell>
          <cell r="C2280">
            <v>166</v>
          </cell>
          <cell r="D2280" t="str">
            <v>Lee_Ricky_25</v>
          </cell>
        </row>
        <row r="2281">
          <cell r="B2281">
            <v>45771</v>
          </cell>
          <cell r="C2281">
            <v>333</v>
          </cell>
          <cell r="D2281" t="str">
            <v>May_Davis_25</v>
          </cell>
        </row>
        <row r="2282">
          <cell r="B2282">
            <v>45771</v>
          </cell>
          <cell r="C2282">
            <v>178.8</v>
          </cell>
          <cell r="D2282" t="str">
            <v>McDaniel_Damien_25</v>
          </cell>
        </row>
        <row r="2283">
          <cell r="B2283">
            <v>45771</v>
          </cell>
          <cell r="C2283">
            <v>188.2</v>
          </cell>
          <cell r="D2283" t="str">
            <v>McDowell_Connor_25</v>
          </cell>
        </row>
        <row r="2284">
          <cell r="B2284">
            <v>45771</v>
          </cell>
          <cell r="C2284">
            <v>282.8</v>
          </cell>
          <cell r="D2284" t="str">
            <v>McGlothen_Jayland_25</v>
          </cell>
        </row>
        <row r="2285">
          <cell r="B2285">
            <v>45771</v>
          </cell>
          <cell r="C2285">
            <v>194.4</v>
          </cell>
          <cell r="D2285" t="str">
            <v>McGough_Cal_25</v>
          </cell>
        </row>
        <row r="2286">
          <cell r="B2286">
            <v>45771</v>
          </cell>
          <cell r="C2286">
            <v>289.39999999999998</v>
          </cell>
          <cell r="D2286" t="str">
            <v>McKay_Richard_25</v>
          </cell>
        </row>
        <row r="2287">
          <cell r="B2287">
            <v>45771</v>
          </cell>
          <cell r="C2287">
            <v>196</v>
          </cell>
          <cell r="D2287" t="str">
            <v>McKenzie_Anta'Veon_25</v>
          </cell>
        </row>
        <row r="2288">
          <cell r="B2288">
            <v>45771</v>
          </cell>
          <cell r="C2288">
            <v>182.4</v>
          </cell>
          <cell r="D2288" t="str">
            <v>Meadors_Grant_25</v>
          </cell>
        </row>
        <row r="2289">
          <cell r="B2289">
            <v>45771</v>
          </cell>
          <cell r="C2289">
            <v>300.60000000000002</v>
          </cell>
          <cell r="D2289" t="str">
            <v>Meek_Aidan_25</v>
          </cell>
        </row>
        <row r="2290">
          <cell r="B2290">
            <v>45771</v>
          </cell>
          <cell r="C2290">
            <v>174.6</v>
          </cell>
          <cell r="D2290" t="str">
            <v>Mullican_Elias_25</v>
          </cell>
        </row>
        <row r="2291">
          <cell r="B2291">
            <v>45771</v>
          </cell>
          <cell r="C2291">
            <v>194.4</v>
          </cell>
          <cell r="D2291" t="str">
            <v>NA</v>
          </cell>
        </row>
        <row r="2292">
          <cell r="B2292">
            <v>45771</v>
          </cell>
          <cell r="C2292">
            <v>231.6</v>
          </cell>
          <cell r="D2292" t="str">
            <v>Nelson_Gavin_25</v>
          </cell>
        </row>
        <row r="2293">
          <cell r="B2293">
            <v>45771</v>
          </cell>
          <cell r="C2293">
            <v>266.8</v>
          </cell>
          <cell r="D2293" t="str">
            <v>Norris_Sammy_25</v>
          </cell>
        </row>
        <row r="2294">
          <cell r="B2294">
            <v>45771</v>
          </cell>
          <cell r="C2294">
            <v>173.2</v>
          </cell>
          <cell r="D2294" t="str">
            <v>Oliver_Jason_25</v>
          </cell>
        </row>
        <row r="2295">
          <cell r="B2295">
            <v>45771</v>
          </cell>
          <cell r="C2295">
            <v>306.60000000000002</v>
          </cell>
          <cell r="D2295" t="str">
            <v>Ortiz_Elijah_25</v>
          </cell>
        </row>
        <row r="2296">
          <cell r="B2296">
            <v>45771</v>
          </cell>
          <cell r="C2296">
            <v>228</v>
          </cell>
          <cell r="D2296" t="str">
            <v>Puloka_Fata_25</v>
          </cell>
        </row>
        <row r="2297">
          <cell r="B2297">
            <v>45771</v>
          </cell>
          <cell r="C2297">
            <v>322.39999999999998</v>
          </cell>
          <cell r="D2297" t="str">
            <v>Riley_Kenndel_25</v>
          </cell>
        </row>
        <row r="2298">
          <cell r="B2298">
            <v>45771</v>
          </cell>
          <cell r="C2298">
            <v>212.2</v>
          </cell>
          <cell r="D2298" t="str">
            <v>Rocha_Alex_25</v>
          </cell>
        </row>
        <row r="2299">
          <cell r="B2299">
            <v>45771</v>
          </cell>
          <cell r="C2299">
            <v>245.8</v>
          </cell>
          <cell r="D2299" t="str">
            <v>Scott_Brennon_25</v>
          </cell>
        </row>
        <row r="2300">
          <cell r="B2300">
            <v>45771</v>
          </cell>
          <cell r="C2300">
            <v>264.8</v>
          </cell>
          <cell r="D2300" t="str">
            <v>Slater_Luke_25</v>
          </cell>
        </row>
        <row r="2301">
          <cell r="B2301">
            <v>45771</v>
          </cell>
          <cell r="C2301">
            <v>192.4</v>
          </cell>
          <cell r="D2301" t="str">
            <v>Smith_Onterrio_25</v>
          </cell>
        </row>
        <row r="2302">
          <cell r="B2302">
            <v>45771</v>
          </cell>
          <cell r="C2302">
            <v>191.8</v>
          </cell>
          <cell r="D2302" t="str">
            <v>Solis_Jojo_25</v>
          </cell>
        </row>
        <row r="2303">
          <cell r="B2303">
            <v>45771</v>
          </cell>
          <cell r="C2303">
            <v>307.2</v>
          </cell>
          <cell r="D2303" t="str">
            <v>Soto_Jose_25</v>
          </cell>
        </row>
        <row r="2304">
          <cell r="B2304">
            <v>45771</v>
          </cell>
          <cell r="C2304">
            <v>304</v>
          </cell>
          <cell r="D2304" t="str">
            <v>Sousa_Brandon_25</v>
          </cell>
        </row>
        <row r="2305">
          <cell r="B2305">
            <v>45771</v>
          </cell>
          <cell r="C2305">
            <v>284.60000000000002</v>
          </cell>
          <cell r="D2305" t="str">
            <v>Speno_Joseph_25</v>
          </cell>
        </row>
        <row r="2306">
          <cell r="B2306">
            <v>45771</v>
          </cell>
          <cell r="C2306">
            <v>308.60000000000002</v>
          </cell>
          <cell r="D2306" t="str">
            <v>Summers_Bryson_25</v>
          </cell>
        </row>
        <row r="2307">
          <cell r="B2307">
            <v>45771</v>
          </cell>
          <cell r="C2307">
            <v>279</v>
          </cell>
          <cell r="D2307" t="str">
            <v>Tagaloa_Brodie_25</v>
          </cell>
        </row>
        <row r="2308">
          <cell r="B2308">
            <v>45771</v>
          </cell>
          <cell r="C2308">
            <v>233.4</v>
          </cell>
          <cell r="D2308" t="str">
            <v>Tanner_Logan_25</v>
          </cell>
        </row>
        <row r="2309">
          <cell r="B2309">
            <v>45771</v>
          </cell>
          <cell r="C2309">
            <v>159.4</v>
          </cell>
          <cell r="D2309" t="str">
            <v>Taylor_Adam_25</v>
          </cell>
        </row>
        <row r="2310">
          <cell r="B2310">
            <v>45771</v>
          </cell>
          <cell r="C2310">
            <v>235.4</v>
          </cell>
          <cell r="D2310" t="str">
            <v>Vi_Pita_25</v>
          </cell>
        </row>
        <row r="2311">
          <cell r="B2311">
            <v>45771</v>
          </cell>
          <cell r="C2311">
            <v>172.8</v>
          </cell>
          <cell r="D2311" t="str">
            <v>Williams_Cardell_25</v>
          </cell>
        </row>
        <row r="2312">
          <cell r="B2312">
            <v>45771</v>
          </cell>
          <cell r="C2312">
            <v>194.2</v>
          </cell>
          <cell r="D2312" t="str">
            <v>Williams_Jalen_25</v>
          </cell>
        </row>
        <row r="2313">
          <cell r="B2313">
            <v>45771</v>
          </cell>
          <cell r="C2313">
            <v>218.8</v>
          </cell>
          <cell r="D2313" t="str">
            <v>Williams_Jordan_25</v>
          </cell>
        </row>
        <row r="2314">
          <cell r="B2314">
            <v>45771</v>
          </cell>
          <cell r="C2314">
            <v>249.6</v>
          </cell>
          <cell r="D2314" t="str">
            <v>Williams_Xavier_25</v>
          </cell>
        </row>
        <row r="2315">
          <cell r="B2315">
            <v>45771</v>
          </cell>
          <cell r="C2315">
            <v>215.6</v>
          </cell>
          <cell r="D2315" t="str">
            <v>Wilson_Jace_25</v>
          </cell>
        </row>
        <row r="2316">
          <cell r="B2316">
            <v>45768</v>
          </cell>
          <cell r="C2316">
            <v>287.60000000000002</v>
          </cell>
          <cell r="D2316" t="str">
            <v>Abdullah_Dean_25</v>
          </cell>
        </row>
        <row r="2317">
          <cell r="B2317">
            <v>45768</v>
          </cell>
          <cell r="C2317">
            <v>189</v>
          </cell>
          <cell r="D2317" t="str">
            <v>Akui_Koa_25</v>
          </cell>
        </row>
        <row r="2318">
          <cell r="B2318">
            <v>45768</v>
          </cell>
          <cell r="C2318">
            <v>262.2</v>
          </cell>
          <cell r="D2318" t="str">
            <v>Ambuehl_Davis_25</v>
          </cell>
        </row>
        <row r="2319">
          <cell r="B2319">
            <v>45768</v>
          </cell>
          <cell r="C2319">
            <v>210.6</v>
          </cell>
          <cell r="D2319" t="str">
            <v>Anderson_Hayden_25</v>
          </cell>
        </row>
        <row r="2320">
          <cell r="B2320">
            <v>45768</v>
          </cell>
          <cell r="C2320">
            <v>165.6</v>
          </cell>
          <cell r="D2320" t="str">
            <v>Anderson_Jordan_25</v>
          </cell>
        </row>
        <row r="2321">
          <cell r="B2321">
            <v>45768</v>
          </cell>
          <cell r="C2321">
            <v>276</v>
          </cell>
          <cell r="D2321" t="str">
            <v>Bailey_Miles_25</v>
          </cell>
        </row>
        <row r="2322">
          <cell r="B2322">
            <v>45768</v>
          </cell>
          <cell r="C2322">
            <v>218</v>
          </cell>
          <cell r="D2322" t="str">
            <v>Boeddeker_Hunter_25</v>
          </cell>
        </row>
        <row r="2323">
          <cell r="B2323">
            <v>45768</v>
          </cell>
          <cell r="C2323">
            <v>190</v>
          </cell>
          <cell r="D2323" t="str">
            <v>Borders_Curron_25</v>
          </cell>
        </row>
        <row r="2324">
          <cell r="B2324">
            <v>45768</v>
          </cell>
          <cell r="C2324">
            <v>160.80000000000001</v>
          </cell>
          <cell r="D2324" t="str">
            <v>Bryant_Ajon_25</v>
          </cell>
        </row>
        <row r="2325">
          <cell r="B2325">
            <v>45768</v>
          </cell>
          <cell r="C2325">
            <v>231.2</v>
          </cell>
          <cell r="D2325" t="str">
            <v>Cashiola_Josh_25</v>
          </cell>
        </row>
        <row r="2326">
          <cell r="B2326">
            <v>45768</v>
          </cell>
          <cell r="C2326">
            <v>158.6</v>
          </cell>
          <cell r="D2326" t="str">
            <v>Conerly_Tim_25</v>
          </cell>
        </row>
        <row r="2327">
          <cell r="B2327">
            <v>45768</v>
          </cell>
          <cell r="C2327">
            <v>172.2</v>
          </cell>
          <cell r="D2327" t="str">
            <v>Curtis_Jamar_25</v>
          </cell>
        </row>
        <row r="2328">
          <cell r="B2328">
            <v>45768</v>
          </cell>
          <cell r="C2328">
            <v>197.2</v>
          </cell>
          <cell r="D2328" t="str">
            <v>Emerson_Yebrell_25</v>
          </cell>
        </row>
        <row r="2329">
          <cell r="B2329">
            <v>45768</v>
          </cell>
          <cell r="C2329">
            <v>228.6</v>
          </cell>
          <cell r="D2329" t="str">
            <v>Eskridge_Matthew_25</v>
          </cell>
        </row>
        <row r="2330">
          <cell r="B2330">
            <v>45768</v>
          </cell>
          <cell r="C2330">
            <v>185.6</v>
          </cell>
          <cell r="D2330" t="str">
            <v>Firebaugh_Joseph_25</v>
          </cell>
        </row>
        <row r="2331">
          <cell r="B2331">
            <v>45768</v>
          </cell>
          <cell r="C2331">
            <v>170.2</v>
          </cell>
          <cell r="D2331" t="str">
            <v>Fresques_Jaxon_25</v>
          </cell>
        </row>
        <row r="2332">
          <cell r="B2332">
            <v>45768</v>
          </cell>
          <cell r="C2332">
            <v>296.60000000000002</v>
          </cell>
          <cell r="D2332" t="str">
            <v>Gretlein_Cade_25</v>
          </cell>
        </row>
        <row r="2333">
          <cell r="B2333">
            <v>45768</v>
          </cell>
          <cell r="C2333">
            <v>194.2</v>
          </cell>
          <cell r="D2333" t="str">
            <v>Hammond_Rodney_25</v>
          </cell>
        </row>
        <row r="2334">
          <cell r="B2334">
            <v>45768</v>
          </cell>
          <cell r="C2334">
            <v>293.39999999999998</v>
          </cell>
          <cell r="D2334" t="str">
            <v>Hays_Sawyer_25</v>
          </cell>
        </row>
        <row r="2335">
          <cell r="B2335">
            <v>45768</v>
          </cell>
          <cell r="C2335">
            <v>208.8</v>
          </cell>
          <cell r="D2335" t="str">
            <v>Henderson_Damian_25</v>
          </cell>
        </row>
        <row r="2336">
          <cell r="B2336">
            <v>45768</v>
          </cell>
          <cell r="C2336">
            <v>200.6</v>
          </cell>
          <cell r="D2336" t="str">
            <v>Higgins_Kaleb_25</v>
          </cell>
        </row>
        <row r="2337">
          <cell r="B2337">
            <v>45768</v>
          </cell>
          <cell r="C2337">
            <v>226.4</v>
          </cell>
          <cell r="D2337" t="str">
            <v>Houston_Derek_25</v>
          </cell>
        </row>
        <row r="2338">
          <cell r="B2338">
            <v>45768</v>
          </cell>
          <cell r="C2338">
            <v>208</v>
          </cell>
          <cell r="D2338" t="str">
            <v>Huddle_Elijah_25</v>
          </cell>
        </row>
        <row r="2339">
          <cell r="B2339">
            <v>45768</v>
          </cell>
          <cell r="C2339">
            <v>184.4</v>
          </cell>
          <cell r="D2339" t="str">
            <v>Johnson-Burrell_Lamont_25</v>
          </cell>
        </row>
        <row r="2340">
          <cell r="B2340">
            <v>45768</v>
          </cell>
          <cell r="C2340">
            <v>214.8</v>
          </cell>
          <cell r="D2340" t="str">
            <v>Johnston_Adam_25</v>
          </cell>
        </row>
        <row r="2341">
          <cell r="B2341">
            <v>45768</v>
          </cell>
          <cell r="C2341">
            <v>289</v>
          </cell>
          <cell r="D2341" t="str">
            <v>Kovacs_Giovanni_25</v>
          </cell>
        </row>
        <row r="2342">
          <cell r="B2342">
            <v>45768</v>
          </cell>
          <cell r="C2342">
            <v>166.6</v>
          </cell>
          <cell r="D2342" t="str">
            <v>Lee_Ricky_25</v>
          </cell>
        </row>
        <row r="2343">
          <cell r="B2343">
            <v>45768</v>
          </cell>
          <cell r="C2343">
            <v>335</v>
          </cell>
          <cell r="D2343" t="str">
            <v>May_Davis_25</v>
          </cell>
        </row>
        <row r="2344">
          <cell r="B2344">
            <v>45768</v>
          </cell>
          <cell r="C2344">
            <v>178.6</v>
          </cell>
          <cell r="D2344" t="str">
            <v>McDaniel_Damien_25</v>
          </cell>
        </row>
        <row r="2345">
          <cell r="B2345">
            <v>45768</v>
          </cell>
          <cell r="C2345">
            <v>187.2</v>
          </cell>
          <cell r="D2345" t="str">
            <v>McDowell_Connor_25</v>
          </cell>
        </row>
        <row r="2346">
          <cell r="B2346">
            <v>45768</v>
          </cell>
          <cell r="C2346">
            <v>280.60000000000002</v>
          </cell>
          <cell r="D2346" t="str">
            <v>McGlothen_Jayland_25</v>
          </cell>
        </row>
        <row r="2347">
          <cell r="B2347">
            <v>45768</v>
          </cell>
          <cell r="C2347">
            <v>195.4</v>
          </cell>
          <cell r="D2347" t="str">
            <v>McGough_Cal_25</v>
          </cell>
        </row>
        <row r="2348">
          <cell r="B2348">
            <v>45768</v>
          </cell>
          <cell r="C2348">
            <v>291.8</v>
          </cell>
          <cell r="D2348" t="str">
            <v>McKay_Richard_25</v>
          </cell>
        </row>
        <row r="2349">
          <cell r="B2349">
            <v>45768</v>
          </cell>
          <cell r="C2349">
            <v>190.8</v>
          </cell>
          <cell r="D2349" t="str">
            <v>McKenzie_Anta'Veon_25</v>
          </cell>
        </row>
        <row r="2350">
          <cell r="B2350">
            <v>45768</v>
          </cell>
          <cell r="C2350">
            <v>182</v>
          </cell>
          <cell r="D2350" t="str">
            <v>Meadors_Grant_25</v>
          </cell>
        </row>
        <row r="2351">
          <cell r="B2351">
            <v>45768</v>
          </cell>
          <cell r="C2351">
            <v>295.39999999999998</v>
          </cell>
          <cell r="D2351" t="str">
            <v>Meek_Aidan_25</v>
          </cell>
        </row>
        <row r="2352">
          <cell r="B2352">
            <v>45768</v>
          </cell>
          <cell r="C2352">
            <v>188</v>
          </cell>
          <cell r="D2352" t="str">
            <v>Melanson_Mike_25</v>
          </cell>
        </row>
        <row r="2353">
          <cell r="B2353">
            <v>45768</v>
          </cell>
          <cell r="C2353">
            <v>173.8</v>
          </cell>
          <cell r="D2353" t="str">
            <v>Mullican_Elias_25</v>
          </cell>
        </row>
        <row r="2354">
          <cell r="B2354">
            <v>45768</v>
          </cell>
          <cell r="C2354">
            <v>191.6</v>
          </cell>
          <cell r="D2354" t="str">
            <v>NA</v>
          </cell>
        </row>
        <row r="2355">
          <cell r="B2355">
            <v>45768</v>
          </cell>
          <cell r="C2355">
            <v>232.2</v>
          </cell>
          <cell r="D2355" t="str">
            <v>Nelson_Gavin_25</v>
          </cell>
        </row>
        <row r="2356">
          <cell r="B2356">
            <v>45768</v>
          </cell>
          <cell r="C2356">
            <v>268</v>
          </cell>
          <cell r="D2356" t="str">
            <v>Norris_Sammy_25</v>
          </cell>
        </row>
        <row r="2357">
          <cell r="B2357">
            <v>45768</v>
          </cell>
          <cell r="C2357">
            <v>172.2</v>
          </cell>
          <cell r="D2357" t="str">
            <v>Oliver_Jason_25</v>
          </cell>
        </row>
        <row r="2358">
          <cell r="B2358">
            <v>45768</v>
          </cell>
          <cell r="C2358">
            <v>305.8</v>
          </cell>
          <cell r="D2358" t="str">
            <v>Ortiz_Elijah_25</v>
          </cell>
        </row>
        <row r="2359">
          <cell r="B2359">
            <v>45768</v>
          </cell>
          <cell r="C2359">
            <v>228</v>
          </cell>
          <cell r="D2359" t="str">
            <v>Puloka_Fata_25</v>
          </cell>
        </row>
        <row r="2360">
          <cell r="B2360">
            <v>45768</v>
          </cell>
          <cell r="C2360">
            <v>324.8</v>
          </cell>
          <cell r="D2360" t="str">
            <v>Riley_Kenndel_25</v>
          </cell>
        </row>
        <row r="2361">
          <cell r="B2361">
            <v>45768</v>
          </cell>
          <cell r="C2361">
            <v>211.8</v>
          </cell>
          <cell r="D2361" t="str">
            <v>Rocha_Alex_25</v>
          </cell>
        </row>
        <row r="2362">
          <cell r="B2362">
            <v>45768</v>
          </cell>
          <cell r="C2362">
            <v>248.6</v>
          </cell>
          <cell r="D2362" t="str">
            <v>Scott_Brennon_25</v>
          </cell>
        </row>
        <row r="2363">
          <cell r="B2363">
            <v>45768</v>
          </cell>
          <cell r="C2363">
            <v>266.60000000000002</v>
          </cell>
          <cell r="D2363" t="str">
            <v>Slater_Luke_25</v>
          </cell>
        </row>
        <row r="2364">
          <cell r="B2364">
            <v>45768</v>
          </cell>
          <cell r="C2364">
            <v>194.6</v>
          </cell>
          <cell r="D2364" t="str">
            <v>Smith_Onterrio_25</v>
          </cell>
        </row>
        <row r="2365">
          <cell r="B2365">
            <v>45768</v>
          </cell>
          <cell r="C2365">
            <v>190.8</v>
          </cell>
          <cell r="D2365" t="str">
            <v>Solis_Jojo_25</v>
          </cell>
        </row>
        <row r="2366">
          <cell r="B2366">
            <v>45768</v>
          </cell>
          <cell r="C2366">
            <v>305.60000000000002</v>
          </cell>
          <cell r="D2366" t="str">
            <v>Soto_Jose_25</v>
          </cell>
        </row>
        <row r="2367">
          <cell r="B2367">
            <v>45768</v>
          </cell>
          <cell r="C2367">
            <v>300.8</v>
          </cell>
          <cell r="D2367" t="str">
            <v>Sousa_Brandon_25</v>
          </cell>
        </row>
        <row r="2368">
          <cell r="B2368">
            <v>45768</v>
          </cell>
          <cell r="C2368">
            <v>289.60000000000002</v>
          </cell>
          <cell r="D2368" t="str">
            <v>Speno_Joseph_25</v>
          </cell>
        </row>
        <row r="2369">
          <cell r="B2369">
            <v>45768</v>
          </cell>
          <cell r="C2369">
            <v>300.60000000000002</v>
          </cell>
          <cell r="D2369" t="str">
            <v>Summers_Bryson_25</v>
          </cell>
        </row>
        <row r="2370">
          <cell r="B2370">
            <v>45768</v>
          </cell>
          <cell r="C2370">
            <v>282.60000000000002</v>
          </cell>
          <cell r="D2370" t="str">
            <v>Tagaloa_Brodie_25</v>
          </cell>
        </row>
        <row r="2371">
          <cell r="B2371">
            <v>45768</v>
          </cell>
          <cell r="C2371">
            <v>230.6</v>
          </cell>
          <cell r="D2371" t="str">
            <v>Tanner_Logan_25</v>
          </cell>
        </row>
        <row r="2372">
          <cell r="B2372">
            <v>45768</v>
          </cell>
          <cell r="C2372">
            <v>160</v>
          </cell>
          <cell r="D2372" t="str">
            <v>Taylor_Adam_25</v>
          </cell>
        </row>
        <row r="2373">
          <cell r="B2373">
            <v>45768</v>
          </cell>
          <cell r="C2373">
            <v>232</v>
          </cell>
          <cell r="D2373" t="str">
            <v>Vi_Pita_25</v>
          </cell>
        </row>
        <row r="2374">
          <cell r="B2374">
            <v>45768</v>
          </cell>
          <cell r="C2374">
            <v>171.2</v>
          </cell>
          <cell r="D2374" t="str">
            <v>Williams_Cardell_25</v>
          </cell>
        </row>
        <row r="2375">
          <cell r="B2375">
            <v>45768</v>
          </cell>
          <cell r="C2375">
            <v>197.2</v>
          </cell>
          <cell r="D2375" t="str">
            <v>Williams_Jalen_25</v>
          </cell>
        </row>
        <row r="2376">
          <cell r="B2376">
            <v>45768</v>
          </cell>
          <cell r="C2376">
            <v>219.6</v>
          </cell>
          <cell r="D2376" t="str">
            <v>Williams_Jordan_25</v>
          </cell>
        </row>
        <row r="2377">
          <cell r="B2377">
            <v>45768</v>
          </cell>
          <cell r="C2377">
            <v>250.2</v>
          </cell>
          <cell r="D2377" t="str">
            <v>Williams_Xavier_25</v>
          </cell>
        </row>
        <row r="2378">
          <cell r="B2378">
            <v>45768</v>
          </cell>
          <cell r="C2378">
            <v>215.8</v>
          </cell>
          <cell r="D2378" t="str">
            <v>Wilson_Jace_25</v>
          </cell>
        </row>
        <row r="2379">
          <cell r="B2379">
            <v>45765</v>
          </cell>
          <cell r="C2379">
            <v>192.346</v>
          </cell>
          <cell r="D2379" t="str">
            <v>Hammond_Rodney_25</v>
          </cell>
        </row>
        <row r="2380">
          <cell r="B2380">
            <v>45765</v>
          </cell>
          <cell r="C2380">
            <v>163.30600000000001</v>
          </cell>
          <cell r="D2380" t="str">
            <v>Lee_Ricky_25</v>
          </cell>
        </row>
        <row r="2381">
          <cell r="B2381">
            <v>45764</v>
          </cell>
          <cell r="C2381">
            <v>211.57400000000001</v>
          </cell>
          <cell r="D2381" t="str">
            <v>Williams_Jordan_25</v>
          </cell>
        </row>
        <row r="2382">
          <cell r="B2382">
            <v>45763</v>
          </cell>
          <cell r="C2382">
            <v>291.61</v>
          </cell>
          <cell r="D2382" t="str">
            <v>Abdullah_Dean_25</v>
          </cell>
        </row>
        <row r="2383">
          <cell r="B2383">
            <v>45763</v>
          </cell>
          <cell r="C2383">
            <v>187.61600000000001</v>
          </cell>
          <cell r="D2383" t="str">
            <v>Akui_Koa_25</v>
          </cell>
        </row>
        <row r="2384">
          <cell r="B2384">
            <v>45763</v>
          </cell>
          <cell r="C2384">
            <v>264.79199999999997</v>
          </cell>
          <cell r="D2384" t="str">
            <v>Ambuehl_Davis_25</v>
          </cell>
        </row>
        <row r="2385">
          <cell r="B2385">
            <v>45763</v>
          </cell>
          <cell r="C2385">
            <v>208.78</v>
          </cell>
          <cell r="D2385" t="str">
            <v>Anderson_Hayden_25</v>
          </cell>
        </row>
        <row r="2386">
          <cell r="B2386">
            <v>45763</v>
          </cell>
          <cell r="C2386">
            <v>168.45400000000001</v>
          </cell>
          <cell r="D2386" t="str">
            <v>Anderson_Jordan_25</v>
          </cell>
        </row>
        <row r="2387">
          <cell r="B2387">
            <v>45763</v>
          </cell>
          <cell r="C2387">
            <v>158.18</v>
          </cell>
          <cell r="D2387" t="str">
            <v>Bryant_Ajon_25</v>
          </cell>
        </row>
        <row r="2388">
          <cell r="B2388">
            <v>45763</v>
          </cell>
          <cell r="C2388">
            <v>191.02600000000001</v>
          </cell>
          <cell r="D2388" t="str">
            <v>Butler_Dejuan_25</v>
          </cell>
        </row>
        <row r="2389">
          <cell r="B2389">
            <v>45763</v>
          </cell>
          <cell r="C2389">
            <v>224.708</v>
          </cell>
          <cell r="D2389" t="str">
            <v>Cashiola_Josh_25</v>
          </cell>
        </row>
        <row r="2390">
          <cell r="B2390">
            <v>45763</v>
          </cell>
          <cell r="C2390">
            <v>170.214</v>
          </cell>
          <cell r="D2390" t="str">
            <v>Curtis_Jamar_25</v>
          </cell>
        </row>
        <row r="2391">
          <cell r="B2391">
            <v>45763</v>
          </cell>
          <cell r="C2391">
            <v>225.19200000000001</v>
          </cell>
          <cell r="D2391" t="str">
            <v>Eskridge_Matthew_25</v>
          </cell>
        </row>
        <row r="2392">
          <cell r="B2392">
            <v>45763</v>
          </cell>
          <cell r="C2392">
            <v>168.58600000000001</v>
          </cell>
          <cell r="D2392" t="str">
            <v>Fresques_Jaxon_25</v>
          </cell>
        </row>
        <row r="2393">
          <cell r="B2393">
            <v>45763</v>
          </cell>
          <cell r="C2393">
            <v>292.99599999999998</v>
          </cell>
          <cell r="D2393" t="str">
            <v>Gretlein_Cade_25</v>
          </cell>
        </row>
        <row r="2394">
          <cell r="B2394">
            <v>45763</v>
          </cell>
          <cell r="C2394">
            <v>289.56400000000002</v>
          </cell>
          <cell r="D2394" t="str">
            <v>Hays_Sawyer_25</v>
          </cell>
        </row>
        <row r="2395">
          <cell r="B2395">
            <v>45763</v>
          </cell>
          <cell r="C2395">
            <v>197.82400000000001</v>
          </cell>
          <cell r="D2395" t="str">
            <v>Higgins_Kaleb_25</v>
          </cell>
        </row>
        <row r="2396">
          <cell r="B2396">
            <v>45763</v>
          </cell>
          <cell r="C2396">
            <v>225.434</v>
          </cell>
          <cell r="D2396" t="str">
            <v>Houston_Derek_25</v>
          </cell>
        </row>
        <row r="2397">
          <cell r="B2397">
            <v>45763</v>
          </cell>
          <cell r="C2397">
            <v>206.05199999999999</v>
          </cell>
          <cell r="D2397" t="str">
            <v>Huddle_Elijah_25</v>
          </cell>
        </row>
        <row r="2398">
          <cell r="B2398">
            <v>45763</v>
          </cell>
          <cell r="C2398">
            <v>185.30600000000001</v>
          </cell>
          <cell r="D2398" t="str">
            <v>Johnson-Burrell_Lamont_25</v>
          </cell>
        </row>
        <row r="2399">
          <cell r="B2399">
            <v>45763</v>
          </cell>
          <cell r="C2399">
            <v>297.88</v>
          </cell>
          <cell r="D2399" t="str">
            <v>Kovacs_Giovanni_25</v>
          </cell>
        </row>
        <row r="2400">
          <cell r="B2400">
            <v>45763</v>
          </cell>
          <cell r="C2400">
            <v>337.392</v>
          </cell>
          <cell r="D2400" t="str">
            <v>May_Davis_25</v>
          </cell>
        </row>
        <row r="2401">
          <cell r="B2401">
            <v>45763</v>
          </cell>
          <cell r="C2401">
            <v>182.798</v>
          </cell>
          <cell r="D2401" t="str">
            <v>McDowell_Connor_25</v>
          </cell>
        </row>
        <row r="2402">
          <cell r="B2402">
            <v>45763</v>
          </cell>
          <cell r="C2402">
            <v>279.642</v>
          </cell>
          <cell r="D2402" t="str">
            <v>McGlothen_Jayland_25</v>
          </cell>
        </row>
        <row r="2403">
          <cell r="B2403">
            <v>45763</v>
          </cell>
          <cell r="C2403">
            <v>190.19</v>
          </cell>
          <cell r="D2403" t="str">
            <v>McGough_Cal_25</v>
          </cell>
        </row>
        <row r="2404">
          <cell r="B2404">
            <v>45763</v>
          </cell>
          <cell r="C2404">
            <v>291.61</v>
          </cell>
          <cell r="D2404" t="str">
            <v>McKay_Richard_25</v>
          </cell>
        </row>
        <row r="2405">
          <cell r="B2405">
            <v>45763</v>
          </cell>
          <cell r="C2405">
            <v>191.202</v>
          </cell>
          <cell r="D2405" t="str">
            <v>McKenzie_Anta'Veon_25</v>
          </cell>
        </row>
        <row r="2406">
          <cell r="B2406">
            <v>45763</v>
          </cell>
          <cell r="C2406">
            <v>183.458</v>
          </cell>
          <cell r="D2406" t="str">
            <v>Meadors_Grant_25</v>
          </cell>
        </row>
        <row r="2407">
          <cell r="B2407">
            <v>45763</v>
          </cell>
          <cell r="C2407">
            <v>300.38799999999998</v>
          </cell>
          <cell r="D2407" t="str">
            <v>Meek_Aidan_25</v>
          </cell>
        </row>
        <row r="2408">
          <cell r="B2408">
            <v>45763</v>
          </cell>
          <cell r="C2408">
            <v>173.88800000000001</v>
          </cell>
          <cell r="D2408" t="str">
            <v>Mullican_Elias_25</v>
          </cell>
        </row>
        <row r="2409">
          <cell r="B2409">
            <v>45763</v>
          </cell>
          <cell r="C2409">
            <v>187.55</v>
          </cell>
          <cell r="D2409" t="str">
            <v>NA</v>
          </cell>
        </row>
        <row r="2410">
          <cell r="B2410">
            <v>45763</v>
          </cell>
          <cell r="C2410">
            <v>268.95</v>
          </cell>
          <cell r="D2410" t="str">
            <v>Norris_Sammy_25</v>
          </cell>
        </row>
        <row r="2411">
          <cell r="B2411">
            <v>45763</v>
          </cell>
          <cell r="C2411">
            <v>170.54400000000001</v>
          </cell>
          <cell r="D2411" t="str">
            <v>Oliver_Jason_25</v>
          </cell>
        </row>
        <row r="2412">
          <cell r="B2412">
            <v>45763</v>
          </cell>
          <cell r="C2412">
            <v>305.096</v>
          </cell>
          <cell r="D2412" t="str">
            <v>Ortiz_Elijah_25</v>
          </cell>
        </row>
        <row r="2413">
          <cell r="B2413">
            <v>45763</v>
          </cell>
          <cell r="C2413">
            <v>325.84199999999998</v>
          </cell>
          <cell r="D2413" t="str">
            <v>Riley_Kenndel_25</v>
          </cell>
        </row>
        <row r="2414">
          <cell r="B2414">
            <v>45763</v>
          </cell>
          <cell r="C2414">
            <v>212.19</v>
          </cell>
          <cell r="D2414" t="str">
            <v>Rocha_Alex_25</v>
          </cell>
        </row>
        <row r="2415">
          <cell r="B2415">
            <v>45763</v>
          </cell>
          <cell r="C2415">
            <v>249.59</v>
          </cell>
          <cell r="D2415" t="str">
            <v>Scott_Brennon_25</v>
          </cell>
        </row>
        <row r="2416">
          <cell r="B2416">
            <v>45763</v>
          </cell>
          <cell r="C2416">
            <v>267.01400000000001</v>
          </cell>
          <cell r="D2416" t="str">
            <v>Slater_Luke_25</v>
          </cell>
        </row>
        <row r="2417">
          <cell r="B2417">
            <v>45763</v>
          </cell>
          <cell r="C2417">
            <v>188.76</v>
          </cell>
          <cell r="D2417" t="str">
            <v>Smith_Onterrio_25</v>
          </cell>
        </row>
        <row r="2418">
          <cell r="B2418">
            <v>45763</v>
          </cell>
          <cell r="C2418">
            <v>192.126</v>
          </cell>
          <cell r="D2418" t="str">
            <v>Solis_Jojo_25</v>
          </cell>
        </row>
        <row r="2419">
          <cell r="B2419">
            <v>45763</v>
          </cell>
          <cell r="C2419">
            <v>306.57</v>
          </cell>
          <cell r="D2419" t="str">
            <v>Soto_Jose_25</v>
          </cell>
        </row>
        <row r="2420">
          <cell r="B2420">
            <v>45763</v>
          </cell>
          <cell r="C2420">
            <v>300.69600000000003</v>
          </cell>
          <cell r="D2420" t="str">
            <v>Sousa_Brandon_25</v>
          </cell>
        </row>
        <row r="2421">
          <cell r="B2421">
            <v>45763</v>
          </cell>
          <cell r="C2421">
            <v>303.70999999999998</v>
          </cell>
          <cell r="D2421" t="str">
            <v>Summers_Bryson_25</v>
          </cell>
        </row>
        <row r="2422">
          <cell r="B2422">
            <v>45763</v>
          </cell>
          <cell r="C2422">
            <v>157.542</v>
          </cell>
          <cell r="D2422" t="str">
            <v>Taylor_Adam_25</v>
          </cell>
        </row>
        <row r="2423">
          <cell r="B2423">
            <v>45763</v>
          </cell>
          <cell r="C2423">
            <v>233.376</v>
          </cell>
          <cell r="D2423" t="str">
            <v>Vi_Pita_25</v>
          </cell>
        </row>
        <row r="2424">
          <cell r="B2424">
            <v>45763</v>
          </cell>
          <cell r="C2424">
            <v>174.636</v>
          </cell>
          <cell r="D2424" t="str">
            <v>Williams_Cardell_25</v>
          </cell>
        </row>
        <row r="2425">
          <cell r="B2425">
            <v>45763</v>
          </cell>
          <cell r="C2425">
            <v>191.29</v>
          </cell>
          <cell r="D2425" t="str">
            <v>Williams_Jalen_25</v>
          </cell>
        </row>
        <row r="2426">
          <cell r="B2426">
            <v>45757</v>
          </cell>
          <cell r="C2426">
            <v>288.39999999999998</v>
          </cell>
          <cell r="D2426" t="str">
            <v>Abdullah_Dean_25</v>
          </cell>
        </row>
        <row r="2427">
          <cell r="B2427">
            <v>45757</v>
          </cell>
          <cell r="C2427">
            <v>189.6</v>
          </cell>
          <cell r="D2427" t="str">
            <v>Akui_Koa_25</v>
          </cell>
        </row>
        <row r="2428">
          <cell r="B2428">
            <v>45757</v>
          </cell>
          <cell r="C2428">
            <v>262</v>
          </cell>
          <cell r="D2428" t="str">
            <v>Ambuehl_Davis_25</v>
          </cell>
        </row>
        <row r="2429">
          <cell r="B2429">
            <v>45757</v>
          </cell>
          <cell r="C2429">
            <v>202.8</v>
          </cell>
          <cell r="D2429" t="str">
            <v>Anderson_Hayden_25</v>
          </cell>
        </row>
        <row r="2430">
          <cell r="B2430">
            <v>45757</v>
          </cell>
          <cell r="C2430">
            <v>168.8</v>
          </cell>
          <cell r="D2430" t="str">
            <v>Anderson_Jordan_25</v>
          </cell>
        </row>
        <row r="2431">
          <cell r="B2431">
            <v>45757</v>
          </cell>
          <cell r="C2431">
            <v>282</v>
          </cell>
          <cell r="D2431" t="str">
            <v>Bailey_Miles_25</v>
          </cell>
        </row>
        <row r="2432">
          <cell r="B2432">
            <v>45757</v>
          </cell>
          <cell r="C2432">
            <v>218.4</v>
          </cell>
          <cell r="D2432" t="str">
            <v>Boeddeker_Hunter_25</v>
          </cell>
        </row>
        <row r="2433">
          <cell r="B2433">
            <v>45757</v>
          </cell>
          <cell r="C2433">
            <v>162.19999999999999</v>
          </cell>
          <cell r="D2433" t="str">
            <v>Bryant_Ajon_25</v>
          </cell>
        </row>
        <row r="2434">
          <cell r="B2434">
            <v>45757</v>
          </cell>
          <cell r="C2434">
            <v>230</v>
          </cell>
          <cell r="D2434" t="str">
            <v>Cashiola_Josh_25</v>
          </cell>
        </row>
        <row r="2435">
          <cell r="B2435">
            <v>45757</v>
          </cell>
          <cell r="C2435">
            <v>158.80000000000001</v>
          </cell>
          <cell r="D2435" t="str">
            <v>Conerly_Tim_25</v>
          </cell>
        </row>
        <row r="2436">
          <cell r="B2436">
            <v>45757</v>
          </cell>
          <cell r="C2436">
            <v>168.6</v>
          </cell>
          <cell r="D2436" t="str">
            <v>Curtis_Jamar_25</v>
          </cell>
        </row>
        <row r="2437">
          <cell r="B2437">
            <v>45757</v>
          </cell>
          <cell r="C2437">
            <v>235</v>
          </cell>
          <cell r="D2437" t="str">
            <v>Davis_Diego_25</v>
          </cell>
        </row>
        <row r="2438">
          <cell r="B2438">
            <v>45757</v>
          </cell>
          <cell r="C2438">
            <v>199.8</v>
          </cell>
          <cell r="D2438" t="str">
            <v>Emerson_Yebrell_25</v>
          </cell>
        </row>
        <row r="2439">
          <cell r="B2439">
            <v>45757</v>
          </cell>
          <cell r="C2439">
            <v>225.4</v>
          </cell>
          <cell r="D2439" t="str">
            <v>Eskridge_Matthew_25</v>
          </cell>
        </row>
        <row r="2440">
          <cell r="B2440">
            <v>45757</v>
          </cell>
          <cell r="C2440">
            <v>183.4</v>
          </cell>
          <cell r="D2440" t="str">
            <v>Firebaugh_Joseph_25</v>
          </cell>
        </row>
        <row r="2441">
          <cell r="B2441">
            <v>45757</v>
          </cell>
          <cell r="C2441">
            <v>172.6</v>
          </cell>
          <cell r="D2441" t="str">
            <v>Fresques_Jaxon_25</v>
          </cell>
        </row>
        <row r="2442">
          <cell r="B2442">
            <v>45757</v>
          </cell>
          <cell r="C2442">
            <v>293</v>
          </cell>
          <cell r="D2442" t="str">
            <v>Gretlein_Cade_25</v>
          </cell>
        </row>
        <row r="2443">
          <cell r="B2443">
            <v>45757</v>
          </cell>
          <cell r="C2443">
            <v>195.6</v>
          </cell>
          <cell r="D2443" t="str">
            <v>Hammond_Rodney_25</v>
          </cell>
        </row>
        <row r="2444">
          <cell r="B2444">
            <v>45757</v>
          </cell>
          <cell r="C2444">
            <v>293</v>
          </cell>
          <cell r="D2444" t="str">
            <v>Hays_Sawyer_25</v>
          </cell>
        </row>
        <row r="2445">
          <cell r="B2445">
            <v>45757</v>
          </cell>
          <cell r="C2445">
            <v>211.6</v>
          </cell>
          <cell r="D2445" t="str">
            <v>Henderson_Damian_25</v>
          </cell>
        </row>
        <row r="2446">
          <cell r="B2446">
            <v>45757</v>
          </cell>
          <cell r="C2446">
            <v>198.4</v>
          </cell>
          <cell r="D2446" t="str">
            <v>Higgins_Kaleb_25</v>
          </cell>
        </row>
        <row r="2447">
          <cell r="B2447">
            <v>45757</v>
          </cell>
          <cell r="C2447">
            <v>228</v>
          </cell>
          <cell r="D2447" t="str">
            <v>Houston_Derek_25</v>
          </cell>
        </row>
        <row r="2448">
          <cell r="B2448">
            <v>45757</v>
          </cell>
          <cell r="C2448">
            <v>213</v>
          </cell>
          <cell r="D2448" t="str">
            <v>Huddle_Elijah_25</v>
          </cell>
        </row>
        <row r="2449">
          <cell r="B2449">
            <v>45757</v>
          </cell>
          <cell r="C2449">
            <v>188</v>
          </cell>
          <cell r="D2449" t="str">
            <v>Johnson-Burrell_Lamont_25</v>
          </cell>
        </row>
        <row r="2450">
          <cell r="B2450">
            <v>45757</v>
          </cell>
          <cell r="C2450">
            <v>211.8</v>
          </cell>
          <cell r="D2450" t="str">
            <v>Johnston_Adam_25</v>
          </cell>
        </row>
        <row r="2451">
          <cell r="B2451">
            <v>45757</v>
          </cell>
          <cell r="C2451">
            <v>300.2</v>
          </cell>
          <cell r="D2451" t="str">
            <v>Kovacs_Giovanni_25</v>
          </cell>
        </row>
        <row r="2452">
          <cell r="B2452">
            <v>45757</v>
          </cell>
          <cell r="C2452">
            <v>165.6</v>
          </cell>
          <cell r="D2452" t="str">
            <v>Lee_Ricky_25</v>
          </cell>
        </row>
        <row r="2453">
          <cell r="B2453">
            <v>45757</v>
          </cell>
          <cell r="C2453">
            <v>336</v>
          </cell>
          <cell r="D2453" t="str">
            <v>May_Davis_25</v>
          </cell>
        </row>
        <row r="2454">
          <cell r="B2454">
            <v>45757</v>
          </cell>
          <cell r="C2454">
            <v>178.4</v>
          </cell>
          <cell r="D2454" t="str">
            <v>McDaniel_Damien_25</v>
          </cell>
        </row>
        <row r="2455">
          <cell r="B2455">
            <v>45757</v>
          </cell>
          <cell r="C2455">
            <v>185.4</v>
          </cell>
          <cell r="D2455" t="str">
            <v>McDowell_Connor_25</v>
          </cell>
        </row>
        <row r="2456">
          <cell r="B2456">
            <v>45757</v>
          </cell>
          <cell r="C2456">
            <v>279.60000000000002</v>
          </cell>
          <cell r="D2456" t="str">
            <v>McGlothen_Jayland_25</v>
          </cell>
        </row>
        <row r="2457">
          <cell r="B2457">
            <v>45757</v>
          </cell>
          <cell r="C2457">
            <v>195</v>
          </cell>
          <cell r="D2457" t="str">
            <v>McGough_Cal_25</v>
          </cell>
        </row>
        <row r="2458">
          <cell r="B2458">
            <v>45757</v>
          </cell>
          <cell r="C2458">
            <v>290.2</v>
          </cell>
          <cell r="D2458" t="str">
            <v>McKay_Richard_25</v>
          </cell>
        </row>
        <row r="2459">
          <cell r="B2459">
            <v>45757</v>
          </cell>
          <cell r="C2459">
            <v>193</v>
          </cell>
          <cell r="D2459" t="str">
            <v>McKenzie_Anta'Veon_25</v>
          </cell>
        </row>
        <row r="2460">
          <cell r="B2460">
            <v>45757</v>
          </cell>
          <cell r="C2460">
            <v>181.6</v>
          </cell>
          <cell r="D2460" t="str">
            <v>Meadors_Grant_25</v>
          </cell>
        </row>
        <row r="2461">
          <cell r="B2461">
            <v>45757</v>
          </cell>
          <cell r="C2461">
            <v>298.60000000000002</v>
          </cell>
          <cell r="D2461" t="str">
            <v>Meek_Aidan_25</v>
          </cell>
        </row>
        <row r="2462">
          <cell r="B2462">
            <v>45757</v>
          </cell>
          <cell r="C2462">
            <v>189</v>
          </cell>
          <cell r="D2462" t="str">
            <v>Melanson_Mike_25</v>
          </cell>
        </row>
        <row r="2463">
          <cell r="B2463">
            <v>45757</v>
          </cell>
          <cell r="C2463">
            <v>171.2</v>
          </cell>
          <cell r="D2463" t="str">
            <v>Mullican_Elias_25</v>
          </cell>
        </row>
        <row r="2464">
          <cell r="B2464">
            <v>45757</v>
          </cell>
          <cell r="C2464">
            <v>189.4</v>
          </cell>
          <cell r="D2464" t="str">
            <v>NA</v>
          </cell>
        </row>
        <row r="2465">
          <cell r="B2465">
            <v>45757</v>
          </cell>
          <cell r="C2465">
            <v>233.4</v>
          </cell>
          <cell r="D2465" t="str">
            <v>Nelson_Gavin_25</v>
          </cell>
        </row>
        <row r="2466">
          <cell r="B2466">
            <v>45757</v>
          </cell>
          <cell r="C2466">
            <v>268.8</v>
          </cell>
          <cell r="D2466" t="str">
            <v>Norris_Sammy_25</v>
          </cell>
        </row>
        <row r="2467">
          <cell r="B2467">
            <v>45757</v>
          </cell>
          <cell r="C2467">
            <v>170.2</v>
          </cell>
          <cell r="D2467" t="str">
            <v>Oliver_Jason_25</v>
          </cell>
        </row>
        <row r="2468">
          <cell r="B2468">
            <v>45757</v>
          </cell>
          <cell r="C2468">
            <v>306.60000000000002</v>
          </cell>
          <cell r="D2468" t="str">
            <v>Ortiz_Elijah_25</v>
          </cell>
        </row>
        <row r="2469">
          <cell r="B2469">
            <v>45757</v>
          </cell>
          <cell r="C2469">
            <v>229</v>
          </cell>
          <cell r="D2469" t="str">
            <v>Puloka_Fata_25</v>
          </cell>
        </row>
        <row r="2470">
          <cell r="B2470">
            <v>45757</v>
          </cell>
          <cell r="C2470">
            <v>323.2</v>
          </cell>
          <cell r="D2470" t="str">
            <v>Riley_Kenndel_25</v>
          </cell>
        </row>
        <row r="2471">
          <cell r="B2471">
            <v>45757</v>
          </cell>
          <cell r="C2471">
            <v>213.6</v>
          </cell>
          <cell r="D2471" t="str">
            <v>Rocha_Alex_25</v>
          </cell>
        </row>
        <row r="2472">
          <cell r="B2472">
            <v>45757</v>
          </cell>
          <cell r="C2472">
            <v>246</v>
          </cell>
          <cell r="D2472" t="str">
            <v>Scott_Brennon_25</v>
          </cell>
        </row>
        <row r="2473">
          <cell r="B2473">
            <v>45757</v>
          </cell>
          <cell r="C2473">
            <v>265.39999999999998</v>
          </cell>
          <cell r="D2473" t="str">
            <v>Slater_Luke_25</v>
          </cell>
        </row>
        <row r="2474">
          <cell r="B2474">
            <v>45757</v>
          </cell>
          <cell r="C2474">
            <v>187.8</v>
          </cell>
          <cell r="D2474" t="str">
            <v>Smith_Onterrio_25</v>
          </cell>
        </row>
        <row r="2475">
          <cell r="B2475">
            <v>45757</v>
          </cell>
          <cell r="C2475">
            <v>191.6</v>
          </cell>
          <cell r="D2475" t="str">
            <v>Solis_Jojo_25</v>
          </cell>
        </row>
        <row r="2476">
          <cell r="B2476">
            <v>45757</v>
          </cell>
          <cell r="C2476">
            <v>308.39999999999998</v>
          </cell>
          <cell r="D2476" t="str">
            <v>Soto_Jose_25</v>
          </cell>
        </row>
        <row r="2477">
          <cell r="B2477">
            <v>45757</v>
          </cell>
          <cell r="C2477">
            <v>302</v>
          </cell>
          <cell r="D2477" t="str">
            <v>Sousa_Brandon_25</v>
          </cell>
        </row>
        <row r="2478">
          <cell r="B2478">
            <v>45757</v>
          </cell>
          <cell r="C2478">
            <v>277</v>
          </cell>
          <cell r="D2478" t="str">
            <v>Speno_Joseph_25</v>
          </cell>
        </row>
        <row r="2479">
          <cell r="B2479">
            <v>45757</v>
          </cell>
          <cell r="C2479">
            <v>302.39999999999998</v>
          </cell>
          <cell r="D2479" t="str">
            <v>Summers_Bryson_25</v>
          </cell>
        </row>
        <row r="2480">
          <cell r="B2480">
            <v>45757</v>
          </cell>
          <cell r="C2480">
            <v>277.60000000000002</v>
          </cell>
          <cell r="D2480" t="str">
            <v>Tagaloa_Brodie_25</v>
          </cell>
        </row>
        <row r="2481">
          <cell r="B2481">
            <v>45757</v>
          </cell>
          <cell r="C2481">
            <v>235.2</v>
          </cell>
          <cell r="D2481" t="str">
            <v>Tanner_Logan_25</v>
          </cell>
        </row>
        <row r="2482">
          <cell r="B2482">
            <v>45757</v>
          </cell>
          <cell r="C2482">
            <v>160.6</v>
          </cell>
          <cell r="D2482" t="str">
            <v>Taylor_Adam_25</v>
          </cell>
        </row>
        <row r="2483">
          <cell r="B2483">
            <v>45757</v>
          </cell>
          <cell r="C2483">
            <v>234.6</v>
          </cell>
          <cell r="D2483" t="str">
            <v>Vi_Pita_25</v>
          </cell>
        </row>
        <row r="2484">
          <cell r="B2484">
            <v>45757</v>
          </cell>
          <cell r="C2484">
            <v>175</v>
          </cell>
          <cell r="D2484" t="str">
            <v>Williams_Cardell_25</v>
          </cell>
        </row>
        <row r="2485">
          <cell r="B2485">
            <v>45757</v>
          </cell>
          <cell r="C2485">
            <v>190.4</v>
          </cell>
          <cell r="D2485" t="str">
            <v>Williams_Jalen_25</v>
          </cell>
        </row>
        <row r="2486">
          <cell r="B2486">
            <v>45757</v>
          </cell>
          <cell r="C2486">
            <v>222.8</v>
          </cell>
          <cell r="D2486" t="str">
            <v>Williams_Jordan_25</v>
          </cell>
        </row>
        <row r="2487">
          <cell r="B2487">
            <v>45757</v>
          </cell>
          <cell r="C2487">
            <v>249</v>
          </cell>
          <cell r="D2487" t="str">
            <v>Williams_Xavier_25</v>
          </cell>
        </row>
        <row r="2488">
          <cell r="B2488">
            <v>45757</v>
          </cell>
          <cell r="C2488">
            <v>214.8</v>
          </cell>
          <cell r="D2488" t="str">
            <v>Wilson_Jace_25</v>
          </cell>
        </row>
        <row r="2489">
          <cell r="B2489">
            <v>45755</v>
          </cell>
          <cell r="C2489">
            <v>288.8</v>
          </cell>
          <cell r="D2489" t="str">
            <v>Abdullah_Dean_25</v>
          </cell>
        </row>
        <row r="2490">
          <cell r="B2490">
            <v>45755</v>
          </cell>
          <cell r="C2490">
            <v>188.6</v>
          </cell>
          <cell r="D2490" t="str">
            <v>Akui_Koa_25</v>
          </cell>
        </row>
        <row r="2491">
          <cell r="B2491">
            <v>45755</v>
          </cell>
          <cell r="C2491">
            <v>261</v>
          </cell>
          <cell r="D2491" t="str">
            <v>Ambuehl_Davis_25</v>
          </cell>
        </row>
        <row r="2492">
          <cell r="B2492">
            <v>45755</v>
          </cell>
          <cell r="C2492">
            <v>205</v>
          </cell>
          <cell r="D2492" t="str">
            <v>Anderson_Hayden_25</v>
          </cell>
        </row>
        <row r="2493">
          <cell r="B2493">
            <v>45755</v>
          </cell>
          <cell r="C2493">
            <v>170.2</v>
          </cell>
          <cell r="D2493" t="str">
            <v>Anderson_Jordan_25</v>
          </cell>
        </row>
        <row r="2494">
          <cell r="B2494">
            <v>45755</v>
          </cell>
          <cell r="C2494">
            <v>281.8</v>
          </cell>
          <cell r="D2494" t="str">
            <v>Bailey_Miles_25</v>
          </cell>
        </row>
        <row r="2495">
          <cell r="B2495">
            <v>45755</v>
          </cell>
          <cell r="C2495">
            <v>219.2</v>
          </cell>
          <cell r="D2495" t="str">
            <v>Boeddeker_Hunter_25</v>
          </cell>
        </row>
        <row r="2496">
          <cell r="B2496">
            <v>45755</v>
          </cell>
          <cell r="C2496">
            <v>162.80000000000001</v>
          </cell>
          <cell r="D2496" t="str">
            <v>Bryant_Ajon_25</v>
          </cell>
        </row>
        <row r="2497">
          <cell r="B2497">
            <v>45755</v>
          </cell>
          <cell r="C2497">
            <v>229</v>
          </cell>
          <cell r="D2497" t="str">
            <v>Cashiola_Josh_25</v>
          </cell>
        </row>
        <row r="2498">
          <cell r="B2498">
            <v>45755</v>
          </cell>
          <cell r="C2498">
            <v>160</v>
          </cell>
          <cell r="D2498" t="str">
            <v>Conerly_Tim_25</v>
          </cell>
        </row>
        <row r="2499">
          <cell r="B2499">
            <v>45755</v>
          </cell>
          <cell r="C2499">
            <v>169.8</v>
          </cell>
          <cell r="D2499" t="str">
            <v>Curtis_Jamar_25</v>
          </cell>
        </row>
        <row r="2500">
          <cell r="B2500">
            <v>45755</v>
          </cell>
          <cell r="C2500">
            <v>234.2</v>
          </cell>
          <cell r="D2500" t="str">
            <v>Davis_Diego_25</v>
          </cell>
        </row>
        <row r="2501">
          <cell r="B2501">
            <v>45755</v>
          </cell>
          <cell r="C2501">
            <v>202.4</v>
          </cell>
          <cell r="D2501" t="str">
            <v>Emerson_Yebrell_25</v>
          </cell>
        </row>
        <row r="2502">
          <cell r="B2502">
            <v>45755</v>
          </cell>
          <cell r="C2502">
            <v>223.6</v>
          </cell>
          <cell r="D2502" t="str">
            <v>Eskridge_Matthew_25</v>
          </cell>
        </row>
        <row r="2503">
          <cell r="B2503">
            <v>45755</v>
          </cell>
          <cell r="C2503">
            <v>185.6</v>
          </cell>
          <cell r="D2503" t="str">
            <v>Firebaugh_Joseph_25</v>
          </cell>
        </row>
        <row r="2504">
          <cell r="B2504">
            <v>45755</v>
          </cell>
          <cell r="C2504">
            <v>172.6</v>
          </cell>
          <cell r="D2504" t="str">
            <v>Fresques_Jaxon_25</v>
          </cell>
        </row>
        <row r="2505">
          <cell r="B2505">
            <v>45755</v>
          </cell>
          <cell r="C2505">
            <v>295.2</v>
          </cell>
          <cell r="D2505" t="str">
            <v>Gretlein_Cade_25</v>
          </cell>
        </row>
        <row r="2506">
          <cell r="B2506">
            <v>45755</v>
          </cell>
          <cell r="C2506">
            <v>195.6</v>
          </cell>
          <cell r="D2506" t="str">
            <v>Hammond_Rodney_25</v>
          </cell>
        </row>
        <row r="2507">
          <cell r="B2507">
            <v>45755</v>
          </cell>
          <cell r="C2507">
            <v>292.60000000000002</v>
          </cell>
          <cell r="D2507" t="str">
            <v>Hays_Sawyer_25</v>
          </cell>
        </row>
        <row r="2508">
          <cell r="B2508">
            <v>45755</v>
          </cell>
          <cell r="C2508">
            <v>213.6</v>
          </cell>
          <cell r="D2508" t="str">
            <v>Henderson_Damian_25</v>
          </cell>
        </row>
        <row r="2509">
          <cell r="B2509">
            <v>45755</v>
          </cell>
          <cell r="C2509">
            <v>195.2</v>
          </cell>
          <cell r="D2509" t="str">
            <v>Higgins_Kaleb_25</v>
          </cell>
        </row>
        <row r="2510">
          <cell r="B2510">
            <v>45755</v>
          </cell>
          <cell r="C2510">
            <v>228.6</v>
          </cell>
          <cell r="D2510" t="str">
            <v>Houston_Derek_25</v>
          </cell>
        </row>
        <row r="2511">
          <cell r="B2511">
            <v>45755</v>
          </cell>
          <cell r="C2511">
            <v>211</v>
          </cell>
          <cell r="D2511" t="str">
            <v>Huddle_Elijah_25</v>
          </cell>
        </row>
        <row r="2512">
          <cell r="B2512">
            <v>45755</v>
          </cell>
          <cell r="C2512">
            <v>188.4</v>
          </cell>
          <cell r="D2512" t="str">
            <v>Johnson-Burrell_Lamont_25</v>
          </cell>
        </row>
        <row r="2513">
          <cell r="B2513">
            <v>45755</v>
          </cell>
          <cell r="C2513">
            <v>213.6</v>
          </cell>
          <cell r="D2513" t="str">
            <v>Johnston_Adam_25</v>
          </cell>
        </row>
        <row r="2514">
          <cell r="B2514">
            <v>45755</v>
          </cell>
          <cell r="C2514">
            <v>299.2</v>
          </cell>
          <cell r="D2514" t="str">
            <v>Kovacs_Giovanni_25</v>
          </cell>
        </row>
        <row r="2515">
          <cell r="B2515">
            <v>45755</v>
          </cell>
          <cell r="C2515">
            <v>166</v>
          </cell>
          <cell r="D2515" t="str">
            <v>Lee_Ricky_25</v>
          </cell>
        </row>
        <row r="2516">
          <cell r="B2516">
            <v>45755</v>
          </cell>
          <cell r="C2516">
            <v>235</v>
          </cell>
          <cell r="D2516" t="str">
            <v>May_Davis_25</v>
          </cell>
        </row>
        <row r="2517">
          <cell r="B2517">
            <v>45755</v>
          </cell>
          <cell r="C2517">
            <v>176.4</v>
          </cell>
          <cell r="D2517" t="str">
            <v>McDaniel_Damien_25</v>
          </cell>
        </row>
        <row r="2518">
          <cell r="B2518">
            <v>45755</v>
          </cell>
          <cell r="C2518">
            <v>188.8</v>
          </cell>
          <cell r="D2518" t="str">
            <v>McDowell_Connor_25</v>
          </cell>
        </row>
        <row r="2519">
          <cell r="B2519">
            <v>45755</v>
          </cell>
          <cell r="C2519">
            <v>277.8</v>
          </cell>
          <cell r="D2519" t="str">
            <v>McGlothen_Jayland_25</v>
          </cell>
        </row>
        <row r="2520">
          <cell r="B2520">
            <v>45755</v>
          </cell>
          <cell r="C2520">
            <v>195</v>
          </cell>
          <cell r="D2520" t="str">
            <v>McGough_Cal_25</v>
          </cell>
        </row>
        <row r="2521">
          <cell r="B2521">
            <v>45755</v>
          </cell>
          <cell r="C2521">
            <v>288.39999999999998</v>
          </cell>
          <cell r="D2521" t="str">
            <v>McKay_Richard_25</v>
          </cell>
        </row>
        <row r="2522">
          <cell r="B2522">
            <v>45755</v>
          </cell>
          <cell r="C2522">
            <v>194.6</v>
          </cell>
          <cell r="D2522" t="str">
            <v>McKenzie_Anta'Veon_25</v>
          </cell>
        </row>
        <row r="2523">
          <cell r="B2523">
            <v>45755</v>
          </cell>
          <cell r="C2523">
            <v>181.4</v>
          </cell>
          <cell r="D2523" t="str">
            <v>Meadors_Grant_25</v>
          </cell>
        </row>
        <row r="2524">
          <cell r="B2524">
            <v>45755</v>
          </cell>
          <cell r="C2524">
            <v>297.39999999999998</v>
          </cell>
          <cell r="D2524" t="str">
            <v>Meek_Aidan_25</v>
          </cell>
        </row>
        <row r="2525">
          <cell r="B2525">
            <v>45755</v>
          </cell>
          <cell r="C2525">
            <v>191.6</v>
          </cell>
          <cell r="D2525" t="str">
            <v>Melanson_Mike_25</v>
          </cell>
        </row>
        <row r="2526">
          <cell r="B2526">
            <v>45755</v>
          </cell>
          <cell r="C2526">
            <v>174.2</v>
          </cell>
          <cell r="D2526" t="str">
            <v>Mullican_Elias_25</v>
          </cell>
        </row>
        <row r="2527">
          <cell r="B2527">
            <v>45755</v>
          </cell>
          <cell r="C2527">
            <v>191.2</v>
          </cell>
          <cell r="D2527" t="str">
            <v>NA</v>
          </cell>
        </row>
        <row r="2528">
          <cell r="B2528">
            <v>45755</v>
          </cell>
          <cell r="C2528">
            <v>234.8</v>
          </cell>
          <cell r="D2528" t="str">
            <v>Nelson_Gavin_25</v>
          </cell>
        </row>
        <row r="2529">
          <cell r="B2529">
            <v>45755</v>
          </cell>
          <cell r="C2529">
            <v>270</v>
          </cell>
          <cell r="D2529" t="str">
            <v>Norris_Sammy_25</v>
          </cell>
        </row>
        <row r="2530">
          <cell r="B2530">
            <v>45755</v>
          </cell>
          <cell r="C2530">
            <v>172.2</v>
          </cell>
          <cell r="D2530" t="str">
            <v>Oliver_Jason_25</v>
          </cell>
        </row>
        <row r="2531">
          <cell r="B2531">
            <v>45755</v>
          </cell>
          <cell r="C2531">
            <v>308</v>
          </cell>
          <cell r="D2531" t="str">
            <v>Ortiz_Elijah_25</v>
          </cell>
        </row>
        <row r="2532">
          <cell r="B2532">
            <v>45755</v>
          </cell>
          <cell r="C2532">
            <v>229</v>
          </cell>
          <cell r="D2532" t="str">
            <v>Puloka_Fata_25</v>
          </cell>
        </row>
        <row r="2533">
          <cell r="B2533">
            <v>45755</v>
          </cell>
          <cell r="C2533">
            <v>326.60000000000002</v>
          </cell>
          <cell r="D2533" t="str">
            <v>Riley_Kenndel_25</v>
          </cell>
        </row>
        <row r="2534">
          <cell r="B2534">
            <v>45755</v>
          </cell>
          <cell r="C2534">
            <v>214</v>
          </cell>
          <cell r="D2534" t="str">
            <v>Rocha_Alex_25</v>
          </cell>
        </row>
        <row r="2535">
          <cell r="B2535">
            <v>45755</v>
          </cell>
          <cell r="C2535">
            <v>248.4</v>
          </cell>
          <cell r="D2535" t="str">
            <v>Scott_Brennon_25</v>
          </cell>
        </row>
        <row r="2536">
          <cell r="B2536">
            <v>45755</v>
          </cell>
          <cell r="C2536">
            <v>264.39999999999998</v>
          </cell>
          <cell r="D2536" t="str">
            <v>Slater_Luke_25</v>
          </cell>
        </row>
        <row r="2537">
          <cell r="B2537">
            <v>45755</v>
          </cell>
          <cell r="C2537">
            <v>188.8</v>
          </cell>
          <cell r="D2537" t="str">
            <v>Smith_Onterrio_25</v>
          </cell>
        </row>
        <row r="2538">
          <cell r="B2538">
            <v>45755</v>
          </cell>
          <cell r="C2538">
            <v>190.8</v>
          </cell>
          <cell r="D2538" t="str">
            <v>Solis_Jojo_25</v>
          </cell>
        </row>
        <row r="2539">
          <cell r="B2539">
            <v>45755</v>
          </cell>
          <cell r="C2539">
            <v>306.39999999999998</v>
          </cell>
          <cell r="D2539" t="str">
            <v>Soto_Jose_25</v>
          </cell>
        </row>
        <row r="2540">
          <cell r="B2540">
            <v>45755</v>
          </cell>
          <cell r="C2540">
            <v>301.60000000000002</v>
          </cell>
          <cell r="D2540" t="str">
            <v>Sousa_Brandon_25</v>
          </cell>
        </row>
        <row r="2541">
          <cell r="B2541">
            <v>45755</v>
          </cell>
          <cell r="C2541">
            <v>283</v>
          </cell>
          <cell r="D2541" t="str">
            <v>Speno_Joseph_25</v>
          </cell>
        </row>
        <row r="2542">
          <cell r="B2542">
            <v>45755</v>
          </cell>
          <cell r="C2542">
            <v>302</v>
          </cell>
          <cell r="D2542" t="str">
            <v>Summers_Bryson_25</v>
          </cell>
        </row>
        <row r="2543">
          <cell r="B2543">
            <v>45755</v>
          </cell>
          <cell r="C2543">
            <v>280</v>
          </cell>
          <cell r="D2543" t="str">
            <v>Tagaloa_Brodie_25</v>
          </cell>
        </row>
        <row r="2544">
          <cell r="B2544">
            <v>45755</v>
          </cell>
          <cell r="C2544">
            <v>235.6</v>
          </cell>
          <cell r="D2544" t="str">
            <v>Tanner_Logan_25</v>
          </cell>
        </row>
        <row r="2545">
          <cell r="B2545">
            <v>45755</v>
          </cell>
          <cell r="C2545">
            <v>162.4</v>
          </cell>
          <cell r="D2545" t="str">
            <v>Taylor_Adam_25</v>
          </cell>
        </row>
        <row r="2546">
          <cell r="B2546">
            <v>45755</v>
          </cell>
          <cell r="C2546">
            <v>234.6</v>
          </cell>
          <cell r="D2546" t="str">
            <v>Vi_Pita_25</v>
          </cell>
        </row>
        <row r="2547">
          <cell r="B2547">
            <v>45755</v>
          </cell>
          <cell r="C2547">
            <v>174.6</v>
          </cell>
          <cell r="D2547" t="str">
            <v>Williams_Cardell_25</v>
          </cell>
        </row>
        <row r="2548">
          <cell r="B2548">
            <v>45755</v>
          </cell>
          <cell r="C2548">
            <v>193.2</v>
          </cell>
          <cell r="D2548" t="str">
            <v>Williams_Jalen_25</v>
          </cell>
        </row>
        <row r="2549">
          <cell r="B2549">
            <v>45755</v>
          </cell>
          <cell r="C2549">
            <v>221.4</v>
          </cell>
          <cell r="D2549" t="str">
            <v>Williams_Jordan_25</v>
          </cell>
        </row>
        <row r="2550">
          <cell r="B2550">
            <v>45755</v>
          </cell>
          <cell r="C2550">
            <v>251</v>
          </cell>
          <cell r="D2550" t="str">
            <v>Williams_Xavier_25</v>
          </cell>
        </row>
        <row r="2551">
          <cell r="B2551">
            <v>45755</v>
          </cell>
          <cell r="C2551">
            <v>215.4</v>
          </cell>
          <cell r="D2551" t="str">
            <v>Wilson_Jace_25</v>
          </cell>
        </row>
        <row r="2552">
          <cell r="B2552">
            <v>45743</v>
          </cell>
          <cell r="C2552">
            <v>282</v>
          </cell>
          <cell r="D2552" t="str">
            <v>Abdullah_Dean_25</v>
          </cell>
        </row>
        <row r="2553">
          <cell r="B2553">
            <v>45743</v>
          </cell>
          <cell r="C2553">
            <v>190.6</v>
          </cell>
          <cell r="D2553" t="str">
            <v>Akui_Koa_25</v>
          </cell>
        </row>
        <row r="2554">
          <cell r="B2554">
            <v>45743</v>
          </cell>
          <cell r="C2554">
            <v>259.39999999999998</v>
          </cell>
          <cell r="D2554" t="str">
            <v>Ambuehl_Davis_25</v>
          </cell>
        </row>
        <row r="2555">
          <cell r="B2555">
            <v>45743</v>
          </cell>
          <cell r="C2555">
            <v>201.6</v>
          </cell>
          <cell r="D2555" t="str">
            <v>Anderson_Hayden_25</v>
          </cell>
        </row>
        <row r="2556">
          <cell r="B2556">
            <v>45743</v>
          </cell>
          <cell r="C2556">
            <v>163.19999999999999</v>
          </cell>
          <cell r="D2556" t="str">
            <v>Anderson_Jordan_25</v>
          </cell>
        </row>
        <row r="2557">
          <cell r="B2557">
            <v>45743</v>
          </cell>
          <cell r="C2557">
            <v>284.60000000000002</v>
          </cell>
          <cell r="D2557" t="str">
            <v>Bailey_Miles_25</v>
          </cell>
        </row>
        <row r="2558">
          <cell r="B2558">
            <v>45743</v>
          </cell>
          <cell r="C2558">
            <v>217.4</v>
          </cell>
          <cell r="D2558" t="str">
            <v>Boeddeker_Hunter_25</v>
          </cell>
        </row>
        <row r="2559">
          <cell r="B2559">
            <v>45743</v>
          </cell>
          <cell r="C2559">
            <v>162</v>
          </cell>
          <cell r="D2559" t="str">
            <v>Bryant_Ajon_25</v>
          </cell>
        </row>
        <row r="2560">
          <cell r="B2560">
            <v>45743</v>
          </cell>
          <cell r="C2560">
            <v>232.6</v>
          </cell>
          <cell r="D2560" t="str">
            <v>Cashiola_Josh_25</v>
          </cell>
        </row>
        <row r="2561">
          <cell r="B2561">
            <v>45743</v>
          </cell>
          <cell r="C2561">
            <v>157.19999999999999</v>
          </cell>
          <cell r="D2561" t="str">
            <v>Conerly_Tim_25</v>
          </cell>
        </row>
        <row r="2562">
          <cell r="B2562">
            <v>45743</v>
          </cell>
          <cell r="C2562">
            <v>167</v>
          </cell>
          <cell r="D2562" t="str">
            <v>Curtis_Jamar_25</v>
          </cell>
        </row>
        <row r="2563">
          <cell r="B2563">
            <v>45743</v>
          </cell>
          <cell r="C2563">
            <v>234</v>
          </cell>
          <cell r="D2563" t="str">
            <v>Davis_Diego_25</v>
          </cell>
        </row>
        <row r="2564">
          <cell r="B2564">
            <v>45743</v>
          </cell>
          <cell r="C2564">
            <v>200</v>
          </cell>
          <cell r="D2564" t="str">
            <v>Emerson_Yebrell_25</v>
          </cell>
        </row>
        <row r="2565">
          <cell r="B2565">
            <v>45743</v>
          </cell>
          <cell r="C2565">
            <v>221.2</v>
          </cell>
          <cell r="D2565" t="str">
            <v>Eskridge_Matthew_25</v>
          </cell>
        </row>
        <row r="2566">
          <cell r="B2566">
            <v>45743</v>
          </cell>
          <cell r="C2566">
            <v>185.4</v>
          </cell>
          <cell r="D2566" t="str">
            <v>Firebaugh_Joseph_25</v>
          </cell>
        </row>
        <row r="2567">
          <cell r="B2567">
            <v>45743</v>
          </cell>
          <cell r="C2567">
            <v>170.6</v>
          </cell>
          <cell r="D2567" t="str">
            <v>Fresques_Jaxon_25</v>
          </cell>
        </row>
        <row r="2568">
          <cell r="B2568">
            <v>45743</v>
          </cell>
          <cell r="C2568">
            <v>296.2</v>
          </cell>
          <cell r="D2568" t="str">
            <v>Gretlein_Cade_25</v>
          </cell>
        </row>
        <row r="2569">
          <cell r="B2569">
            <v>45743</v>
          </cell>
          <cell r="C2569">
            <v>195.4</v>
          </cell>
          <cell r="D2569" t="str">
            <v>Hammond_Rodney_25</v>
          </cell>
        </row>
        <row r="2570">
          <cell r="B2570">
            <v>45743</v>
          </cell>
          <cell r="C2570">
            <v>291.60000000000002</v>
          </cell>
          <cell r="D2570" t="str">
            <v>Hays_Sawyer_25</v>
          </cell>
        </row>
        <row r="2571">
          <cell r="B2571">
            <v>45743</v>
          </cell>
          <cell r="C2571">
            <v>225</v>
          </cell>
          <cell r="D2571" t="str">
            <v>Henderson_Damian_25</v>
          </cell>
        </row>
        <row r="2572">
          <cell r="B2572">
            <v>45743</v>
          </cell>
          <cell r="C2572">
            <v>196.8</v>
          </cell>
          <cell r="D2572" t="str">
            <v>Higgins_Kaleb_25</v>
          </cell>
        </row>
        <row r="2573">
          <cell r="B2573">
            <v>45743</v>
          </cell>
          <cell r="C2573">
            <v>228.8</v>
          </cell>
          <cell r="D2573" t="str">
            <v>Houston_Derek_25</v>
          </cell>
        </row>
        <row r="2574">
          <cell r="B2574">
            <v>45743</v>
          </cell>
          <cell r="C2574">
            <v>212</v>
          </cell>
          <cell r="D2574" t="str">
            <v>Huddle_Elijah_25</v>
          </cell>
        </row>
        <row r="2575">
          <cell r="B2575">
            <v>45743</v>
          </cell>
          <cell r="C2575">
            <v>187.2</v>
          </cell>
          <cell r="D2575" t="str">
            <v>Johnson-Burrell_Lamont_25</v>
          </cell>
        </row>
        <row r="2576">
          <cell r="B2576">
            <v>45743</v>
          </cell>
          <cell r="C2576">
            <v>210.8</v>
          </cell>
          <cell r="D2576" t="str">
            <v>Johnston_Adam_25</v>
          </cell>
        </row>
        <row r="2577">
          <cell r="B2577">
            <v>45743</v>
          </cell>
          <cell r="C2577">
            <v>296.39999999999998</v>
          </cell>
          <cell r="D2577" t="str">
            <v>Kovacs_Giovanni_25</v>
          </cell>
        </row>
        <row r="2578">
          <cell r="B2578">
            <v>45743</v>
          </cell>
          <cell r="C2578">
            <v>165.8</v>
          </cell>
          <cell r="D2578" t="str">
            <v>Lee_Ricky_25</v>
          </cell>
        </row>
        <row r="2579">
          <cell r="B2579">
            <v>45743</v>
          </cell>
          <cell r="C2579">
            <v>335.6</v>
          </cell>
          <cell r="D2579" t="str">
            <v>May_Davis_25</v>
          </cell>
        </row>
        <row r="2580">
          <cell r="B2580">
            <v>45743</v>
          </cell>
          <cell r="C2580">
            <v>176</v>
          </cell>
          <cell r="D2580" t="str">
            <v>McDaniel_Damien_25</v>
          </cell>
        </row>
        <row r="2581">
          <cell r="B2581">
            <v>45743</v>
          </cell>
          <cell r="C2581">
            <v>185.4</v>
          </cell>
          <cell r="D2581" t="str">
            <v>McDowell_Connor_25</v>
          </cell>
        </row>
        <row r="2582">
          <cell r="B2582">
            <v>45743</v>
          </cell>
          <cell r="C2582">
            <v>280.8</v>
          </cell>
          <cell r="D2582" t="str">
            <v>McGlothen_Jayland_25</v>
          </cell>
        </row>
        <row r="2583">
          <cell r="B2583">
            <v>45743</v>
          </cell>
          <cell r="C2583">
            <v>192.6</v>
          </cell>
          <cell r="D2583" t="str">
            <v>McGough_Cal_25</v>
          </cell>
        </row>
        <row r="2584">
          <cell r="B2584">
            <v>45743</v>
          </cell>
          <cell r="C2584">
            <v>291.8</v>
          </cell>
          <cell r="D2584" t="str">
            <v>McKay_Richard_25</v>
          </cell>
        </row>
        <row r="2585">
          <cell r="B2585">
            <v>45743</v>
          </cell>
          <cell r="C2585">
            <v>195.6</v>
          </cell>
          <cell r="D2585" t="str">
            <v>McKenzie_Anta'Veon_25</v>
          </cell>
        </row>
        <row r="2586">
          <cell r="B2586">
            <v>45743</v>
          </cell>
          <cell r="C2586">
            <v>181.8</v>
          </cell>
          <cell r="D2586" t="str">
            <v>Meadors_Grant_25</v>
          </cell>
        </row>
        <row r="2587">
          <cell r="B2587">
            <v>45743</v>
          </cell>
          <cell r="C2587">
            <v>299</v>
          </cell>
          <cell r="D2587" t="str">
            <v>Meek_Aidan_25</v>
          </cell>
        </row>
        <row r="2588">
          <cell r="B2588">
            <v>45743</v>
          </cell>
          <cell r="C2588">
            <v>189</v>
          </cell>
          <cell r="D2588" t="str">
            <v>Melanson_Mike_25</v>
          </cell>
        </row>
        <row r="2589">
          <cell r="B2589">
            <v>45743</v>
          </cell>
          <cell r="C2589">
            <v>172.2</v>
          </cell>
          <cell r="D2589" t="str">
            <v>Mullican_Elias_25</v>
          </cell>
        </row>
        <row r="2590">
          <cell r="B2590">
            <v>45743</v>
          </cell>
          <cell r="C2590">
            <v>189.2</v>
          </cell>
          <cell r="D2590" t="str">
            <v>NA</v>
          </cell>
        </row>
        <row r="2591">
          <cell r="B2591">
            <v>45743</v>
          </cell>
          <cell r="C2591">
            <v>235.8</v>
          </cell>
          <cell r="D2591" t="str">
            <v>Nelson_Gavin_25</v>
          </cell>
        </row>
        <row r="2592">
          <cell r="B2592">
            <v>45743</v>
          </cell>
          <cell r="C2592">
            <v>270</v>
          </cell>
          <cell r="D2592" t="str">
            <v>Norris_Sammy_25</v>
          </cell>
        </row>
        <row r="2593">
          <cell r="B2593">
            <v>45743</v>
          </cell>
          <cell r="C2593">
            <v>172.6</v>
          </cell>
          <cell r="D2593" t="str">
            <v>Oliver_Jason_25</v>
          </cell>
        </row>
        <row r="2594">
          <cell r="B2594">
            <v>45743</v>
          </cell>
          <cell r="C2594">
            <v>304.2</v>
          </cell>
          <cell r="D2594" t="str">
            <v>Ortiz_Elijah_25</v>
          </cell>
        </row>
        <row r="2595">
          <cell r="B2595">
            <v>45743</v>
          </cell>
          <cell r="C2595">
            <v>227.2</v>
          </cell>
          <cell r="D2595" t="str">
            <v>Puloka_Fata_25</v>
          </cell>
        </row>
        <row r="2596">
          <cell r="B2596">
            <v>45743</v>
          </cell>
          <cell r="C2596">
            <v>326.8</v>
          </cell>
          <cell r="D2596" t="str">
            <v>Riley_Kenndel_25</v>
          </cell>
        </row>
        <row r="2597">
          <cell r="B2597">
            <v>45743</v>
          </cell>
          <cell r="C2597">
            <v>216.4</v>
          </cell>
          <cell r="D2597" t="str">
            <v>Rocha_Alex_25</v>
          </cell>
        </row>
        <row r="2598">
          <cell r="B2598">
            <v>45743</v>
          </cell>
          <cell r="C2598">
            <v>248</v>
          </cell>
          <cell r="D2598" t="str">
            <v>Scott_Brennon_25</v>
          </cell>
        </row>
        <row r="2599">
          <cell r="B2599">
            <v>45743</v>
          </cell>
          <cell r="C2599">
            <v>267.7</v>
          </cell>
          <cell r="D2599" t="str">
            <v>Slater_Luke_25</v>
          </cell>
        </row>
        <row r="2600">
          <cell r="B2600">
            <v>45743</v>
          </cell>
          <cell r="C2600">
            <v>187.8</v>
          </cell>
          <cell r="D2600" t="str">
            <v>Smith_Onterrio_25</v>
          </cell>
        </row>
        <row r="2601">
          <cell r="B2601">
            <v>45743</v>
          </cell>
          <cell r="C2601">
            <v>191.6</v>
          </cell>
          <cell r="D2601" t="str">
            <v>Solis_Jojo_25</v>
          </cell>
        </row>
        <row r="2602">
          <cell r="B2602">
            <v>45743</v>
          </cell>
          <cell r="C2602">
            <v>307.8</v>
          </cell>
          <cell r="D2602" t="str">
            <v>Soto_Jose_25</v>
          </cell>
        </row>
        <row r="2603">
          <cell r="B2603">
            <v>45743</v>
          </cell>
          <cell r="C2603">
            <v>302</v>
          </cell>
          <cell r="D2603" t="str">
            <v>Sousa_Brandon_25</v>
          </cell>
        </row>
        <row r="2604">
          <cell r="B2604">
            <v>45743</v>
          </cell>
          <cell r="C2604">
            <v>283</v>
          </cell>
          <cell r="D2604" t="str">
            <v>Speno_Joseph_25</v>
          </cell>
        </row>
        <row r="2605">
          <cell r="B2605">
            <v>45743</v>
          </cell>
          <cell r="C2605">
            <v>279.60000000000002</v>
          </cell>
          <cell r="D2605" t="str">
            <v>Tagaloa_Brodie_25</v>
          </cell>
        </row>
        <row r="2606">
          <cell r="B2606">
            <v>45743</v>
          </cell>
          <cell r="C2606">
            <v>231.6</v>
          </cell>
          <cell r="D2606" t="str">
            <v>Tanner_Logan_25</v>
          </cell>
        </row>
        <row r="2607">
          <cell r="B2607">
            <v>45743</v>
          </cell>
          <cell r="C2607">
            <v>161</v>
          </cell>
          <cell r="D2607" t="str">
            <v>Taylor_Adam_25</v>
          </cell>
        </row>
        <row r="2608">
          <cell r="B2608">
            <v>45743</v>
          </cell>
          <cell r="C2608">
            <v>237.4</v>
          </cell>
          <cell r="D2608" t="str">
            <v>Vi_Pita_25</v>
          </cell>
        </row>
        <row r="2609">
          <cell r="B2609">
            <v>45743</v>
          </cell>
          <cell r="C2609">
            <v>178.2</v>
          </cell>
          <cell r="D2609" t="str">
            <v>Williams_Cardell_25</v>
          </cell>
        </row>
        <row r="2610">
          <cell r="B2610">
            <v>45743</v>
          </cell>
          <cell r="C2610">
            <v>191.2</v>
          </cell>
          <cell r="D2610" t="str">
            <v>Williams_Jalen_25</v>
          </cell>
        </row>
        <row r="2611">
          <cell r="B2611">
            <v>45743</v>
          </cell>
          <cell r="C2611">
            <v>220.4</v>
          </cell>
          <cell r="D2611" t="str">
            <v>Williams_Jordan_25</v>
          </cell>
        </row>
        <row r="2612">
          <cell r="B2612">
            <v>45743</v>
          </cell>
          <cell r="C2612">
            <v>252</v>
          </cell>
          <cell r="D2612" t="str">
            <v>Williams_Xavier_25</v>
          </cell>
        </row>
        <row r="2613">
          <cell r="B2613">
            <v>45743</v>
          </cell>
          <cell r="C2613">
            <v>215.2</v>
          </cell>
          <cell r="D2613" t="str">
            <v>Wilson_Jace_25</v>
          </cell>
        </row>
        <row r="2614">
          <cell r="B2614">
            <v>45741</v>
          </cell>
          <cell r="C2614">
            <v>281.60000000000002</v>
          </cell>
          <cell r="D2614" t="str">
            <v>Abdullah_Dean_25</v>
          </cell>
        </row>
        <row r="2615">
          <cell r="B2615">
            <v>45741</v>
          </cell>
          <cell r="C2615">
            <v>190.2</v>
          </cell>
          <cell r="D2615" t="str">
            <v>Akui_Koa_25</v>
          </cell>
        </row>
        <row r="2616">
          <cell r="B2616">
            <v>45741</v>
          </cell>
          <cell r="C2616">
            <v>264</v>
          </cell>
          <cell r="D2616" t="str">
            <v>Ambuehl_Davis_25</v>
          </cell>
        </row>
        <row r="2617">
          <cell r="B2617">
            <v>45741</v>
          </cell>
          <cell r="C2617">
            <v>203.2</v>
          </cell>
          <cell r="D2617" t="str">
            <v>Anderson_Hayden_25</v>
          </cell>
        </row>
        <row r="2618">
          <cell r="B2618">
            <v>45741</v>
          </cell>
          <cell r="C2618">
            <v>162.4</v>
          </cell>
          <cell r="D2618" t="str">
            <v>Anderson_Jordan_25</v>
          </cell>
        </row>
        <row r="2619">
          <cell r="B2619">
            <v>45741</v>
          </cell>
          <cell r="C2619">
            <v>283.39999999999998</v>
          </cell>
          <cell r="D2619" t="str">
            <v>Bailey_Miles_25</v>
          </cell>
        </row>
        <row r="2620">
          <cell r="B2620">
            <v>45741</v>
          </cell>
          <cell r="C2620">
            <v>218.6</v>
          </cell>
          <cell r="D2620" t="str">
            <v>Boeddeker_Hunter_25</v>
          </cell>
        </row>
        <row r="2621">
          <cell r="B2621">
            <v>45741</v>
          </cell>
          <cell r="C2621">
            <v>163</v>
          </cell>
          <cell r="D2621" t="str">
            <v>Bryant_Ajon_25</v>
          </cell>
        </row>
        <row r="2622">
          <cell r="B2622">
            <v>45741</v>
          </cell>
          <cell r="C2622">
            <v>234.6</v>
          </cell>
          <cell r="D2622" t="str">
            <v>Cashiola_Josh_25</v>
          </cell>
        </row>
        <row r="2623">
          <cell r="B2623">
            <v>45741</v>
          </cell>
          <cell r="C2623">
            <v>159.4</v>
          </cell>
          <cell r="D2623" t="str">
            <v>Conerly_Tim_25</v>
          </cell>
        </row>
        <row r="2624">
          <cell r="B2624">
            <v>45741</v>
          </cell>
          <cell r="C2624">
            <v>168.4</v>
          </cell>
          <cell r="D2624" t="str">
            <v>Curtis_Jamar_25</v>
          </cell>
        </row>
        <row r="2625">
          <cell r="B2625">
            <v>45741</v>
          </cell>
          <cell r="C2625">
            <v>234</v>
          </cell>
          <cell r="D2625" t="str">
            <v>Davis_Diego_25</v>
          </cell>
        </row>
        <row r="2626">
          <cell r="B2626">
            <v>45741</v>
          </cell>
          <cell r="C2626">
            <v>199.6</v>
          </cell>
          <cell r="D2626" t="str">
            <v>Emerson_Yebrell_25</v>
          </cell>
        </row>
        <row r="2627">
          <cell r="B2627">
            <v>45741</v>
          </cell>
          <cell r="C2627">
            <v>221.4</v>
          </cell>
          <cell r="D2627" t="str">
            <v>Eskridge_Matthew_25</v>
          </cell>
        </row>
        <row r="2628">
          <cell r="B2628">
            <v>45741</v>
          </cell>
          <cell r="C2628">
            <v>185.2</v>
          </cell>
          <cell r="D2628" t="str">
            <v>Firebaugh_Joseph_25</v>
          </cell>
        </row>
        <row r="2629">
          <cell r="B2629">
            <v>45741</v>
          </cell>
          <cell r="C2629">
            <v>171.8</v>
          </cell>
          <cell r="D2629" t="str">
            <v>Fresques_Jaxon_25</v>
          </cell>
        </row>
        <row r="2630">
          <cell r="B2630">
            <v>45741</v>
          </cell>
          <cell r="C2630">
            <v>296.60000000000002</v>
          </cell>
          <cell r="D2630" t="str">
            <v>Gretlein_Cade_25</v>
          </cell>
        </row>
        <row r="2631">
          <cell r="B2631">
            <v>45741</v>
          </cell>
          <cell r="C2631">
            <v>198.2</v>
          </cell>
          <cell r="D2631" t="str">
            <v>Hammond_Rodney_25</v>
          </cell>
        </row>
        <row r="2632">
          <cell r="B2632">
            <v>45741</v>
          </cell>
          <cell r="C2632">
            <v>289.2</v>
          </cell>
          <cell r="D2632" t="str">
            <v>Hays_Sawyer_25</v>
          </cell>
        </row>
        <row r="2633">
          <cell r="B2633">
            <v>45741</v>
          </cell>
          <cell r="C2633">
            <v>214</v>
          </cell>
          <cell r="D2633" t="str">
            <v>Henderson_Damian_25</v>
          </cell>
        </row>
        <row r="2634">
          <cell r="B2634">
            <v>45741</v>
          </cell>
          <cell r="C2634">
            <v>195.6</v>
          </cell>
          <cell r="D2634" t="str">
            <v>Higgins_Kaleb_25</v>
          </cell>
        </row>
        <row r="2635">
          <cell r="B2635">
            <v>45741</v>
          </cell>
          <cell r="C2635">
            <v>226</v>
          </cell>
          <cell r="D2635" t="str">
            <v>Houston_Derek_25</v>
          </cell>
        </row>
        <row r="2636">
          <cell r="B2636">
            <v>45741</v>
          </cell>
          <cell r="C2636">
            <v>211.4</v>
          </cell>
          <cell r="D2636" t="str">
            <v>Huddle_Elijah_25</v>
          </cell>
        </row>
        <row r="2637">
          <cell r="B2637">
            <v>45741</v>
          </cell>
          <cell r="C2637">
            <v>187</v>
          </cell>
          <cell r="D2637" t="str">
            <v>Johnson-Burrell_Lamont_25</v>
          </cell>
        </row>
        <row r="2638">
          <cell r="B2638">
            <v>45741</v>
          </cell>
          <cell r="C2638">
            <v>211.8</v>
          </cell>
          <cell r="D2638" t="str">
            <v>Johnston_Adam_25</v>
          </cell>
        </row>
        <row r="2639">
          <cell r="B2639">
            <v>45741</v>
          </cell>
          <cell r="C2639">
            <v>294.60000000000002</v>
          </cell>
          <cell r="D2639" t="str">
            <v>Kovacs_Giovanni_25</v>
          </cell>
        </row>
        <row r="2640">
          <cell r="B2640">
            <v>45741</v>
          </cell>
          <cell r="C2640">
            <v>167.4</v>
          </cell>
          <cell r="D2640" t="str">
            <v>Lee_Ricky_25</v>
          </cell>
        </row>
        <row r="2641">
          <cell r="B2641">
            <v>45741</v>
          </cell>
          <cell r="C2641">
            <v>336</v>
          </cell>
          <cell r="D2641" t="str">
            <v>May_Davis_25</v>
          </cell>
        </row>
        <row r="2642">
          <cell r="B2642">
            <v>45741</v>
          </cell>
          <cell r="C2642">
            <v>179.6</v>
          </cell>
          <cell r="D2642" t="str">
            <v>McDaniel_Damien_25</v>
          </cell>
        </row>
        <row r="2643">
          <cell r="B2643">
            <v>45741</v>
          </cell>
          <cell r="C2643">
            <v>184.4</v>
          </cell>
          <cell r="D2643" t="str">
            <v>McDowell_Connor_25</v>
          </cell>
        </row>
        <row r="2644">
          <cell r="B2644">
            <v>45741</v>
          </cell>
          <cell r="C2644">
            <v>279.2</v>
          </cell>
          <cell r="D2644" t="str">
            <v>McGlothen_Jayland_25</v>
          </cell>
        </row>
        <row r="2645">
          <cell r="B2645">
            <v>45741</v>
          </cell>
          <cell r="C2645">
            <v>195.4</v>
          </cell>
          <cell r="D2645" t="str">
            <v>McGough_Cal_25</v>
          </cell>
        </row>
        <row r="2646">
          <cell r="B2646">
            <v>45741</v>
          </cell>
          <cell r="C2646">
            <v>290.60000000000002</v>
          </cell>
          <cell r="D2646" t="str">
            <v>McKay_Richard_25</v>
          </cell>
        </row>
        <row r="2647">
          <cell r="B2647">
            <v>45741</v>
          </cell>
          <cell r="C2647">
            <v>193.2</v>
          </cell>
          <cell r="D2647" t="str">
            <v>McKenzie_Anta'Veon_25</v>
          </cell>
        </row>
        <row r="2648">
          <cell r="B2648">
            <v>45741</v>
          </cell>
          <cell r="C2648">
            <v>182.4</v>
          </cell>
          <cell r="D2648" t="str">
            <v>Meadors_Grant_25</v>
          </cell>
        </row>
        <row r="2649">
          <cell r="B2649">
            <v>45741</v>
          </cell>
          <cell r="C2649">
            <v>297</v>
          </cell>
          <cell r="D2649" t="str">
            <v>Meek_Aidan_25</v>
          </cell>
        </row>
        <row r="2650">
          <cell r="B2650">
            <v>45741</v>
          </cell>
          <cell r="C2650">
            <v>188.6</v>
          </cell>
          <cell r="D2650" t="str">
            <v>Melanson_Mike_25</v>
          </cell>
        </row>
        <row r="2651">
          <cell r="B2651">
            <v>45741</v>
          </cell>
          <cell r="C2651">
            <v>172</v>
          </cell>
          <cell r="D2651" t="str">
            <v>Mullican_Elias_25</v>
          </cell>
        </row>
        <row r="2652">
          <cell r="B2652">
            <v>45741</v>
          </cell>
          <cell r="C2652">
            <v>192</v>
          </cell>
          <cell r="D2652" t="str">
            <v>NA</v>
          </cell>
        </row>
        <row r="2653">
          <cell r="B2653">
            <v>45741</v>
          </cell>
          <cell r="C2653">
            <v>334.8</v>
          </cell>
          <cell r="D2653" t="str">
            <v>Nelson_Gavin_25</v>
          </cell>
        </row>
        <row r="2654">
          <cell r="B2654">
            <v>45741</v>
          </cell>
          <cell r="C2654">
            <v>271.39999999999998</v>
          </cell>
          <cell r="D2654" t="str">
            <v>Norris_Sammy_25</v>
          </cell>
        </row>
        <row r="2655">
          <cell r="B2655">
            <v>45741</v>
          </cell>
          <cell r="C2655">
            <v>174.6</v>
          </cell>
          <cell r="D2655" t="str">
            <v>Oliver_Jason_25</v>
          </cell>
        </row>
        <row r="2656">
          <cell r="B2656">
            <v>45741</v>
          </cell>
          <cell r="C2656">
            <v>305.60000000000002</v>
          </cell>
          <cell r="D2656" t="str">
            <v>Ortiz_Elijah_25</v>
          </cell>
        </row>
        <row r="2657">
          <cell r="B2657">
            <v>45741</v>
          </cell>
          <cell r="C2657">
            <v>326.8</v>
          </cell>
          <cell r="D2657" t="str">
            <v>Riley_Kenndel_25</v>
          </cell>
        </row>
        <row r="2658">
          <cell r="B2658">
            <v>45741</v>
          </cell>
          <cell r="C2658">
            <v>213.2</v>
          </cell>
          <cell r="D2658" t="str">
            <v>Rocha_Alex_25</v>
          </cell>
        </row>
        <row r="2659">
          <cell r="B2659">
            <v>45741</v>
          </cell>
          <cell r="C2659">
            <v>248</v>
          </cell>
          <cell r="D2659" t="str">
            <v>Scott_Brennon_25</v>
          </cell>
        </row>
        <row r="2660">
          <cell r="B2660">
            <v>45741</v>
          </cell>
          <cell r="C2660">
            <v>265.39999999999998</v>
          </cell>
          <cell r="D2660" t="str">
            <v>Slater_Luke_25</v>
          </cell>
        </row>
        <row r="2661">
          <cell r="B2661">
            <v>45741</v>
          </cell>
          <cell r="C2661">
            <v>188.2</v>
          </cell>
          <cell r="D2661" t="str">
            <v>Smith_Onterrio_25</v>
          </cell>
        </row>
        <row r="2662">
          <cell r="B2662">
            <v>45741</v>
          </cell>
          <cell r="C2662">
            <v>189.4</v>
          </cell>
          <cell r="D2662" t="str">
            <v>Solis_Jojo_25</v>
          </cell>
        </row>
        <row r="2663">
          <cell r="B2663">
            <v>45741</v>
          </cell>
          <cell r="C2663">
            <v>309</v>
          </cell>
          <cell r="D2663" t="str">
            <v>Soto_Jose_25</v>
          </cell>
        </row>
        <row r="2664">
          <cell r="B2664">
            <v>45741</v>
          </cell>
          <cell r="C2664">
            <v>300.2</v>
          </cell>
          <cell r="D2664" t="str">
            <v>Sousa_Brandon_25</v>
          </cell>
        </row>
        <row r="2665">
          <cell r="B2665">
            <v>45741</v>
          </cell>
          <cell r="C2665">
            <v>287.39999999999998</v>
          </cell>
          <cell r="D2665" t="str">
            <v>Speno_Joseph_25</v>
          </cell>
        </row>
        <row r="2666">
          <cell r="B2666">
            <v>45741</v>
          </cell>
          <cell r="C2666">
            <v>281.60000000000002</v>
          </cell>
          <cell r="D2666" t="str">
            <v>Tagaloa_Brodie_25</v>
          </cell>
        </row>
        <row r="2667">
          <cell r="B2667">
            <v>45741</v>
          </cell>
          <cell r="C2667">
            <v>235.2</v>
          </cell>
          <cell r="D2667" t="str">
            <v>Tanner_Logan_25</v>
          </cell>
        </row>
        <row r="2668">
          <cell r="B2668">
            <v>45741</v>
          </cell>
          <cell r="C2668">
            <v>160.19999999999999</v>
          </cell>
          <cell r="D2668" t="str">
            <v>Taylor_Adam_25</v>
          </cell>
        </row>
        <row r="2669">
          <cell r="B2669">
            <v>45741</v>
          </cell>
          <cell r="C2669">
            <v>236</v>
          </cell>
          <cell r="D2669" t="str">
            <v>Vi_Pita_25</v>
          </cell>
        </row>
        <row r="2670">
          <cell r="B2670">
            <v>45741</v>
          </cell>
          <cell r="C2670">
            <v>176.4</v>
          </cell>
          <cell r="D2670" t="str">
            <v>Williams_Cardell_25</v>
          </cell>
        </row>
        <row r="2671">
          <cell r="B2671">
            <v>45741</v>
          </cell>
          <cell r="C2671">
            <v>189.4</v>
          </cell>
          <cell r="D2671" t="str">
            <v>Williams_Jalen_25</v>
          </cell>
        </row>
        <row r="2672">
          <cell r="B2672">
            <v>45741</v>
          </cell>
          <cell r="C2672">
            <v>222.8</v>
          </cell>
          <cell r="D2672" t="str">
            <v>Williams_Jordan_25</v>
          </cell>
        </row>
        <row r="2673">
          <cell r="B2673">
            <v>45741</v>
          </cell>
          <cell r="C2673">
            <v>248.8</v>
          </cell>
          <cell r="D2673" t="str">
            <v>Williams_Xavier_25</v>
          </cell>
        </row>
        <row r="2674">
          <cell r="B2674">
            <v>45741</v>
          </cell>
          <cell r="C2674">
            <v>213.4</v>
          </cell>
          <cell r="D2674" t="str">
            <v>Wilson_Jace_25</v>
          </cell>
        </row>
        <row r="2675">
          <cell r="B2675">
            <v>45730</v>
          </cell>
          <cell r="C2675">
            <v>286.39999999999998</v>
          </cell>
          <cell r="D2675" t="str">
            <v>Abdullah_Dean_25</v>
          </cell>
        </row>
        <row r="2676">
          <cell r="B2676">
            <v>45730</v>
          </cell>
          <cell r="C2676">
            <v>192.8</v>
          </cell>
          <cell r="D2676" t="str">
            <v>Akui_Koa_25</v>
          </cell>
        </row>
        <row r="2677">
          <cell r="B2677">
            <v>45730</v>
          </cell>
          <cell r="C2677">
            <v>259.8</v>
          </cell>
          <cell r="D2677" t="str">
            <v>Ambuehl_Davis_25</v>
          </cell>
        </row>
        <row r="2678">
          <cell r="B2678">
            <v>45730</v>
          </cell>
          <cell r="C2678">
            <v>205.8</v>
          </cell>
          <cell r="D2678" t="str">
            <v>Anderson_Hayden_25</v>
          </cell>
        </row>
        <row r="2679">
          <cell r="B2679">
            <v>45730</v>
          </cell>
          <cell r="C2679">
            <v>170.8</v>
          </cell>
          <cell r="D2679" t="str">
            <v>Anderson_Jordan_25</v>
          </cell>
        </row>
        <row r="2680">
          <cell r="B2680">
            <v>45730</v>
          </cell>
          <cell r="C2680">
            <v>284.2</v>
          </cell>
          <cell r="D2680" t="str">
            <v>Bailey_Miles_25</v>
          </cell>
        </row>
        <row r="2681">
          <cell r="B2681">
            <v>45730</v>
          </cell>
          <cell r="C2681">
            <v>221</v>
          </cell>
          <cell r="D2681" t="str">
            <v>Boeddeker_Hunter_25</v>
          </cell>
        </row>
        <row r="2682">
          <cell r="B2682">
            <v>45730</v>
          </cell>
          <cell r="C2682">
            <v>161.4</v>
          </cell>
          <cell r="D2682" t="str">
            <v>Bryant_Ajon_25</v>
          </cell>
        </row>
        <row r="2683">
          <cell r="B2683">
            <v>45730</v>
          </cell>
          <cell r="C2683">
            <v>234.6</v>
          </cell>
          <cell r="D2683" t="str">
            <v>Cashiola_Josh_25</v>
          </cell>
        </row>
        <row r="2684">
          <cell r="B2684">
            <v>45730</v>
          </cell>
          <cell r="C2684">
            <v>156.80000000000001</v>
          </cell>
          <cell r="D2684" t="str">
            <v>Conerly_Tim_25</v>
          </cell>
        </row>
        <row r="2685">
          <cell r="B2685">
            <v>45730</v>
          </cell>
          <cell r="C2685">
            <v>173.8</v>
          </cell>
          <cell r="D2685" t="str">
            <v>Curtis_Jamar_25</v>
          </cell>
        </row>
        <row r="2686">
          <cell r="B2686">
            <v>45730</v>
          </cell>
          <cell r="C2686">
            <v>233</v>
          </cell>
          <cell r="D2686" t="str">
            <v>Davis_Diego_25</v>
          </cell>
        </row>
        <row r="2687">
          <cell r="B2687">
            <v>45730</v>
          </cell>
          <cell r="C2687">
            <v>201.6</v>
          </cell>
          <cell r="D2687" t="str">
            <v>Emerson_Yebrell_25</v>
          </cell>
        </row>
        <row r="2688">
          <cell r="B2688">
            <v>45730</v>
          </cell>
          <cell r="C2688">
            <v>223.6</v>
          </cell>
          <cell r="D2688" t="str">
            <v>Eskridge_Matthew_25</v>
          </cell>
        </row>
        <row r="2689">
          <cell r="B2689">
            <v>45730</v>
          </cell>
          <cell r="C2689">
            <v>184.8</v>
          </cell>
          <cell r="D2689" t="str">
            <v>Firebaugh_Joseph_25</v>
          </cell>
        </row>
        <row r="2690">
          <cell r="B2690">
            <v>45730</v>
          </cell>
          <cell r="C2690">
            <v>171.4</v>
          </cell>
          <cell r="D2690" t="str">
            <v>Fresques_Jaxon_25</v>
          </cell>
        </row>
        <row r="2691">
          <cell r="B2691">
            <v>45730</v>
          </cell>
          <cell r="C2691">
            <v>293.8</v>
          </cell>
          <cell r="D2691" t="str">
            <v>Gretlein_Cade_25</v>
          </cell>
        </row>
        <row r="2692">
          <cell r="B2692">
            <v>45730</v>
          </cell>
          <cell r="C2692">
            <v>196.2</v>
          </cell>
          <cell r="D2692" t="str">
            <v>Hammond_Rodney_25</v>
          </cell>
        </row>
        <row r="2693">
          <cell r="B2693">
            <v>45730</v>
          </cell>
          <cell r="C2693">
            <v>294.2</v>
          </cell>
          <cell r="D2693" t="str">
            <v>Hays_Sawyer_25</v>
          </cell>
        </row>
        <row r="2694">
          <cell r="B2694">
            <v>45730</v>
          </cell>
          <cell r="C2694">
            <v>215</v>
          </cell>
          <cell r="D2694" t="str">
            <v>Henderson_Damian_25</v>
          </cell>
        </row>
        <row r="2695">
          <cell r="B2695">
            <v>45730</v>
          </cell>
          <cell r="C2695">
            <v>186.8</v>
          </cell>
          <cell r="D2695" t="str">
            <v>Higgins_Kaleb_25</v>
          </cell>
        </row>
        <row r="2696">
          <cell r="B2696">
            <v>45730</v>
          </cell>
          <cell r="C2696">
            <v>227.8</v>
          </cell>
          <cell r="D2696" t="str">
            <v>Houston_Derek_25</v>
          </cell>
        </row>
        <row r="2697">
          <cell r="B2697">
            <v>45730</v>
          </cell>
          <cell r="C2697">
            <v>207.2</v>
          </cell>
          <cell r="D2697" t="str">
            <v>Huddle_Elijah_25</v>
          </cell>
        </row>
        <row r="2698">
          <cell r="B2698">
            <v>45730</v>
          </cell>
          <cell r="C2698">
            <v>188</v>
          </cell>
          <cell r="D2698" t="str">
            <v>Johnson-Burrell_Lamont_25</v>
          </cell>
        </row>
        <row r="2699">
          <cell r="B2699">
            <v>45730</v>
          </cell>
          <cell r="C2699">
            <v>210.4</v>
          </cell>
          <cell r="D2699" t="str">
            <v>Johnston_Adam_25</v>
          </cell>
        </row>
        <row r="2700">
          <cell r="B2700">
            <v>45730</v>
          </cell>
          <cell r="C2700">
            <v>301.8</v>
          </cell>
          <cell r="D2700" t="str">
            <v>Kovacs_Giovanni_25</v>
          </cell>
        </row>
        <row r="2701">
          <cell r="B2701">
            <v>45730</v>
          </cell>
          <cell r="C2701">
            <v>165.2</v>
          </cell>
          <cell r="D2701" t="str">
            <v>Lee_Ricky_25</v>
          </cell>
        </row>
        <row r="2702">
          <cell r="B2702">
            <v>45730</v>
          </cell>
          <cell r="C2702">
            <v>335.6</v>
          </cell>
          <cell r="D2702" t="str">
            <v>May_Davis_25</v>
          </cell>
        </row>
        <row r="2703">
          <cell r="B2703">
            <v>45730</v>
          </cell>
          <cell r="C2703">
            <v>175</v>
          </cell>
          <cell r="D2703" t="str">
            <v>McDaniel_Damien_25</v>
          </cell>
        </row>
        <row r="2704">
          <cell r="B2704">
            <v>45730</v>
          </cell>
          <cell r="C2704">
            <v>182.2</v>
          </cell>
          <cell r="D2704" t="str">
            <v>McDowell_Connor_25</v>
          </cell>
        </row>
        <row r="2705">
          <cell r="B2705">
            <v>45730</v>
          </cell>
          <cell r="C2705">
            <v>280.39999999999998</v>
          </cell>
          <cell r="D2705" t="str">
            <v>McGlothen_Jayland_25</v>
          </cell>
        </row>
        <row r="2706">
          <cell r="B2706">
            <v>45730</v>
          </cell>
          <cell r="C2706">
            <v>191</v>
          </cell>
          <cell r="D2706" t="str">
            <v>McGough_Cal_25</v>
          </cell>
        </row>
        <row r="2707">
          <cell r="B2707">
            <v>45730</v>
          </cell>
          <cell r="C2707">
            <v>284.8</v>
          </cell>
          <cell r="D2707" t="str">
            <v>McKay_Richard_25</v>
          </cell>
        </row>
        <row r="2708">
          <cell r="B2708">
            <v>45730</v>
          </cell>
          <cell r="C2708">
            <v>198.6</v>
          </cell>
          <cell r="D2708" t="str">
            <v>McKenzie_Anta'Veon_25</v>
          </cell>
        </row>
        <row r="2709">
          <cell r="B2709">
            <v>45730</v>
          </cell>
          <cell r="C2709">
            <v>181.6</v>
          </cell>
          <cell r="D2709" t="str">
            <v>Meadors_Grant_25</v>
          </cell>
        </row>
        <row r="2710">
          <cell r="B2710">
            <v>45730</v>
          </cell>
          <cell r="C2710">
            <v>299.2</v>
          </cell>
          <cell r="D2710" t="str">
            <v>Meek_Aidan_25</v>
          </cell>
        </row>
        <row r="2711">
          <cell r="B2711">
            <v>45730</v>
          </cell>
          <cell r="C2711">
            <v>190.6</v>
          </cell>
          <cell r="D2711" t="str">
            <v>Melanson_Mike_25</v>
          </cell>
        </row>
        <row r="2712">
          <cell r="B2712">
            <v>45730</v>
          </cell>
          <cell r="C2712">
            <v>174.2</v>
          </cell>
          <cell r="D2712" t="str">
            <v>Mullican_Elias_25</v>
          </cell>
        </row>
        <row r="2713">
          <cell r="B2713">
            <v>45730</v>
          </cell>
          <cell r="C2713">
            <v>192</v>
          </cell>
          <cell r="D2713" t="str">
            <v>NA</v>
          </cell>
        </row>
        <row r="2714">
          <cell r="B2714">
            <v>45730</v>
          </cell>
          <cell r="C2714">
            <v>234.8</v>
          </cell>
          <cell r="D2714" t="str">
            <v>Nelson_Gavin_25</v>
          </cell>
        </row>
        <row r="2715">
          <cell r="B2715">
            <v>45730</v>
          </cell>
          <cell r="C2715">
            <v>271</v>
          </cell>
          <cell r="D2715" t="str">
            <v>Norris_Sammy_25</v>
          </cell>
        </row>
        <row r="2716">
          <cell r="B2716">
            <v>45730</v>
          </cell>
          <cell r="C2716">
            <v>175.2</v>
          </cell>
          <cell r="D2716" t="str">
            <v>Oliver_Jason_25</v>
          </cell>
        </row>
        <row r="2717">
          <cell r="B2717">
            <v>45730</v>
          </cell>
          <cell r="C2717">
            <v>303</v>
          </cell>
          <cell r="D2717" t="str">
            <v>Ortiz_Elijah_25</v>
          </cell>
        </row>
        <row r="2718">
          <cell r="B2718">
            <v>45730</v>
          </cell>
          <cell r="C2718">
            <v>225.2</v>
          </cell>
          <cell r="D2718" t="str">
            <v>Puloka_Fata_25</v>
          </cell>
        </row>
        <row r="2719">
          <cell r="B2719">
            <v>45730</v>
          </cell>
          <cell r="C2719">
            <v>325.39999999999998</v>
          </cell>
          <cell r="D2719" t="str">
            <v>Riley_Kenndel_25</v>
          </cell>
        </row>
        <row r="2720">
          <cell r="B2720">
            <v>45730</v>
          </cell>
          <cell r="C2720">
            <v>213.8</v>
          </cell>
          <cell r="D2720" t="str">
            <v>Rocha_Alex_25</v>
          </cell>
        </row>
        <row r="2721">
          <cell r="B2721">
            <v>45730</v>
          </cell>
          <cell r="C2721">
            <v>252</v>
          </cell>
          <cell r="D2721" t="str">
            <v>Scott_Brennon_25</v>
          </cell>
        </row>
        <row r="2722">
          <cell r="B2722">
            <v>45730</v>
          </cell>
          <cell r="C2722">
            <v>270.8</v>
          </cell>
          <cell r="D2722" t="str">
            <v>Slater_Luke_25</v>
          </cell>
        </row>
        <row r="2723">
          <cell r="B2723">
            <v>45730</v>
          </cell>
          <cell r="C2723">
            <v>188.4</v>
          </cell>
          <cell r="D2723" t="str">
            <v>Smith_Onterrio_25</v>
          </cell>
        </row>
        <row r="2724">
          <cell r="B2724">
            <v>45730</v>
          </cell>
          <cell r="C2724">
            <v>187.8</v>
          </cell>
          <cell r="D2724" t="str">
            <v>Solis_Jojo_25</v>
          </cell>
        </row>
        <row r="2725">
          <cell r="B2725">
            <v>45730</v>
          </cell>
          <cell r="C2725">
            <v>308.60000000000002</v>
          </cell>
          <cell r="D2725" t="str">
            <v>Soto_Jose_25</v>
          </cell>
        </row>
        <row r="2726">
          <cell r="B2726">
            <v>45730</v>
          </cell>
          <cell r="C2726">
            <v>301</v>
          </cell>
          <cell r="D2726" t="str">
            <v>Sousa_Brandon_25</v>
          </cell>
        </row>
        <row r="2727">
          <cell r="B2727">
            <v>45730</v>
          </cell>
          <cell r="C2727">
            <v>283.8</v>
          </cell>
          <cell r="D2727" t="str">
            <v>Speno_Joseph_25</v>
          </cell>
        </row>
        <row r="2728">
          <cell r="B2728">
            <v>45730</v>
          </cell>
          <cell r="C2728">
            <v>307.2</v>
          </cell>
          <cell r="D2728" t="str">
            <v>Summers_Bryson_25</v>
          </cell>
        </row>
        <row r="2729">
          <cell r="B2729">
            <v>45730</v>
          </cell>
          <cell r="C2729">
            <v>282.39999999999998</v>
          </cell>
          <cell r="D2729" t="str">
            <v>Tagaloa_Brodie_25</v>
          </cell>
        </row>
        <row r="2730">
          <cell r="B2730">
            <v>45730</v>
          </cell>
          <cell r="C2730">
            <v>229.2</v>
          </cell>
          <cell r="D2730" t="str">
            <v>Tanner_Logan_25</v>
          </cell>
        </row>
        <row r="2731">
          <cell r="B2731">
            <v>45730</v>
          </cell>
          <cell r="C2731">
            <v>162</v>
          </cell>
          <cell r="D2731" t="str">
            <v>Taylor_Adam_25</v>
          </cell>
        </row>
        <row r="2732">
          <cell r="B2732">
            <v>45730</v>
          </cell>
          <cell r="C2732">
            <v>236</v>
          </cell>
          <cell r="D2732" t="str">
            <v>Vi_Pita_25</v>
          </cell>
        </row>
        <row r="2733">
          <cell r="B2733">
            <v>45730</v>
          </cell>
          <cell r="C2733">
            <v>178</v>
          </cell>
          <cell r="D2733" t="str">
            <v>Williams_Cardell_25</v>
          </cell>
        </row>
        <row r="2734">
          <cell r="B2734">
            <v>45730</v>
          </cell>
          <cell r="C2734">
            <v>183</v>
          </cell>
          <cell r="D2734" t="str">
            <v>Williams_Jalen_25</v>
          </cell>
        </row>
        <row r="2735">
          <cell r="B2735">
            <v>45730</v>
          </cell>
          <cell r="C2735">
            <v>218.6</v>
          </cell>
          <cell r="D2735" t="str">
            <v>Williams_Jordan_25</v>
          </cell>
        </row>
        <row r="2736">
          <cell r="B2736">
            <v>45730</v>
          </cell>
          <cell r="C2736">
            <v>253.2</v>
          </cell>
          <cell r="D2736" t="str">
            <v>Williams_Xavier_25</v>
          </cell>
        </row>
        <row r="2737">
          <cell r="B2737">
            <v>45730</v>
          </cell>
          <cell r="C2737">
            <v>217.8</v>
          </cell>
          <cell r="D2737" t="str">
            <v>Wilson_Jace_25</v>
          </cell>
        </row>
        <row r="2738">
          <cell r="B2738">
            <v>45726</v>
          </cell>
          <cell r="C2738">
            <v>289</v>
          </cell>
          <cell r="D2738" t="str">
            <v>Abdullah_Dean_25</v>
          </cell>
        </row>
        <row r="2739">
          <cell r="B2739">
            <v>45726</v>
          </cell>
          <cell r="C2739">
            <v>191.2</v>
          </cell>
          <cell r="D2739" t="str">
            <v>Akui_Koa_25</v>
          </cell>
        </row>
        <row r="2740">
          <cell r="B2740">
            <v>45726</v>
          </cell>
          <cell r="C2740">
            <v>260.39999999999998</v>
          </cell>
          <cell r="D2740" t="str">
            <v>Ambuehl_Davis_25</v>
          </cell>
        </row>
        <row r="2741">
          <cell r="B2741">
            <v>45726</v>
          </cell>
          <cell r="C2741">
            <v>206.8</v>
          </cell>
          <cell r="D2741" t="str">
            <v>Anderson_Hayden_25</v>
          </cell>
        </row>
        <row r="2742">
          <cell r="B2742">
            <v>45726</v>
          </cell>
          <cell r="C2742">
            <v>170.6</v>
          </cell>
          <cell r="D2742" t="str">
            <v>Anderson_Jordan_25</v>
          </cell>
        </row>
        <row r="2743">
          <cell r="B2743">
            <v>45726</v>
          </cell>
          <cell r="C2743">
            <v>284.8</v>
          </cell>
          <cell r="D2743" t="str">
            <v>Bailey_Miles_25</v>
          </cell>
        </row>
        <row r="2744">
          <cell r="B2744">
            <v>45726</v>
          </cell>
          <cell r="C2744">
            <v>220.2</v>
          </cell>
          <cell r="D2744" t="str">
            <v>Boeddeker_Hunter_25</v>
          </cell>
        </row>
        <row r="2745">
          <cell r="B2745">
            <v>45726</v>
          </cell>
          <cell r="C2745">
            <v>189.8</v>
          </cell>
          <cell r="D2745" t="str">
            <v>Borders_Curron_25</v>
          </cell>
        </row>
        <row r="2746">
          <cell r="B2746">
            <v>45726</v>
          </cell>
          <cell r="C2746">
            <v>159</v>
          </cell>
          <cell r="D2746" t="str">
            <v>Bryant_Ajon_25</v>
          </cell>
        </row>
        <row r="2747">
          <cell r="B2747">
            <v>45726</v>
          </cell>
          <cell r="C2747">
            <v>237.4</v>
          </cell>
          <cell r="D2747" t="str">
            <v>Cashiola_Josh_25</v>
          </cell>
        </row>
        <row r="2748">
          <cell r="B2748">
            <v>45726</v>
          </cell>
          <cell r="C2748">
            <v>156.6</v>
          </cell>
          <cell r="D2748" t="str">
            <v>Conerly_Tim_25</v>
          </cell>
        </row>
        <row r="2749">
          <cell r="B2749">
            <v>45726</v>
          </cell>
          <cell r="C2749">
            <v>175.8</v>
          </cell>
          <cell r="D2749" t="str">
            <v>Curtis_Jamar_25</v>
          </cell>
        </row>
        <row r="2750">
          <cell r="B2750">
            <v>45726</v>
          </cell>
          <cell r="C2750">
            <v>231.2</v>
          </cell>
          <cell r="D2750" t="str">
            <v>Davis_Diego_25</v>
          </cell>
        </row>
        <row r="2751">
          <cell r="B2751">
            <v>45726</v>
          </cell>
          <cell r="C2751">
            <v>200.8</v>
          </cell>
          <cell r="D2751" t="str">
            <v>Emerson_Yebrell_25</v>
          </cell>
        </row>
        <row r="2752">
          <cell r="B2752">
            <v>45726</v>
          </cell>
          <cell r="C2752">
            <v>224.8</v>
          </cell>
          <cell r="D2752" t="str">
            <v>Eskridge_Matthew_25</v>
          </cell>
        </row>
        <row r="2753">
          <cell r="B2753">
            <v>45726</v>
          </cell>
          <cell r="C2753">
            <v>184.6</v>
          </cell>
          <cell r="D2753" t="str">
            <v>Firebaugh_Joseph_25</v>
          </cell>
        </row>
        <row r="2754">
          <cell r="B2754">
            <v>45726</v>
          </cell>
          <cell r="C2754">
            <v>172.8</v>
          </cell>
          <cell r="D2754" t="str">
            <v>Fresques_Jaxon_25</v>
          </cell>
        </row>
        <row r="2755">
          <cell r="B2755">
            <v>45726</v>
          </cell>
          <cell r="C2755">
            <v>292.60000000000002</v>
          </cell>
          <cell r="D2755" t="str">
            <v>Gretlein_Cade_25</v>
          </cell>
        </row>
        <row r="2756">
          <cell r="B2756">
            <v>45726</v>
          </cell>
          <cell r="C2756">
            <v>196.2</v>
          </cell>
          <cell r="D2756" t="str">
            <v>Hammond_Rodney_25</v>
          </cell>
        </row>
        <row r="2757">
          <cell r="B2757">
            <v>45726</v>
          </cell>
          <cell r="C2757">
            <v>294.60000000000002</v>
          </cell>
          <cell r="D2757" t="str">
            <v>Hays_Sawyer_25</v>
          </cell>
        </row>
        <row r="2758">
          <cell r="B2758">
            <v>45726</v>
          </cell>
          <cell r="C2758">
            <v>210.6</v>
          </cell>
          <cell r="D2758" t="str">
            <v>Henderson_Damian_25</v>
          </cell>
        </row>
        <row r="2759">
          <cell r="B2759">
            <v>45726</v>
          </cell>
          <cell r="C2759">
            <v>195.4</v>
          </cell>
          <cell r="D2759" t="str">
            <v>Higgins_Kaleb_25</v>
          </cell>
        </row>
        <row r="2760">
          <cell r="B2760">
            <v>45726</v>
          </cell>
          <cell r="C2760">
            <v>229.6</v>
          </cell>
          <cell r="D2760" t="str">
            <v>Houston_Derek_25</v>
          </cell>
        </row>
        <row r="2761">
          <cell r="B2761">
            <v>45726</v>
          </cell>
          <cell r="C2761">
            <v>212.8</v>
          </cell>
          <cell r="D2761" t="str">
            <v>Huddle_Elijah_25</v>
          </cell>
        </row>
        <row r="2762">
          <cell r="B2762">
            <v>45726</v>
          </cell>
          <cell r="C2762">
            <v>187</v>
          </cell>
          <cell r="D2762" t="str">
            <v>Johnson-Burrell_Lamont_25</v>
          </cell>
        </row>
        <row r="2763">
          <cell r="B2763">
            <v>45726</v>
          </cell>
          <cell r="C2763">
            <v>215.8</v>
          </cell>
          <cell r="D2763" t="str">
            <v>Johnston_Adam_25</v>
          </cell>
        </row>
        <row r="2764">
          <cell r="B2764">
            <v>45726</v>
          </cell>
          <cell r="C2764">
            <v>299</v>
          </cell>
          <cell r="D2764" t="str">
            <v>Kovacs_Giovanni_25</v>
          </cell>
        </row>
        <row r="2765">
          <cell r="B2765">
            <v>45726</v>
          </cell>
          <cell r="C2765">
            <v>165.4</v>
          </cell>
          <cell r="D2765" t="str">
            <v>Lee_Ricky_25</v>
          </cell>
        </row>
        <row r="2766">
          <cell r="B2766">
            <v>45726</v>
          </cell>
          <cell r="C2766">
            <v>335</v>
          </cell>
          <cell r="D2766" t="str">
            <v>May_Davis_25</v>
          </cell>
        </row>
        <row r="2767">
          <cell r="B2767">
            <v>45726</v>
          </cell>
          <cell r="C2767">
            <v>178.2</v>
          </cell>
          <cell r="D2767" t="str">
            <v>McDaniel_Damien_25</v>
          </cell>
        </row>
        <row r="2768">
          <cell r="B2768">
            <v>45726</v>
          </cell>
          <cell r="C2768">
            <v>184.6</v>
          </cell>
          <cell r="D2768" t="str">
            <v>McDowell_Connor_25</v>
          </cell>
        </row>
        <row r="2769">
          <cell r="B2769">
            <v>45726</v>
          </cell>
          <cell r="C2769">
            <v>276.39999999999998</v>
          </cell>
          <cell r="D2769" t="str">
            <v>McGlothen_Jayland_25</v>
          </cell>
        </row>
        <row r="2770">
          <cell r="B2770">
            <v>45726</v>
          </cell>
          <cell r="C2770">
            <v>192</v>
          </cell>
          <cell r="D2770" t="str">
            <v>McGough_Cal_25</v>
          </cell>
        </row>
        <row r="2771">
          <cell r="B2771">
            <v>45726</v>
          </cell>
          <cell r="C2771">
            <v>291.8</v>
          </cell>
          <cell r="D2771" t="str">
            <v>McKay_Richard_25</v>
          </cell>
        </row>
        <row r="2772">
          <cell r="B2772">
            <v>45726</v>
          </cell>
          <cell r="C2772">
            <v>197.6</v>
          </cell>
          <cell r="D2772" t="str">
            <v>McKenzie_Anta'Veon_25</v>
          </cell>
        </row>
        <row r="2773">
          <cell r="B2773">
            <v>45726</v>
          </cell>
          <cell r="C2773">
            <v>183.4</v>
          </cell>
          <cell r="D2773" t="str">
            <v>Meadors_Grant_25</v>
          </cell>
        </row>
        <row r="2774">
          <cell r="B2774">
            <v>45726</v>
          </cell>
          <cell r="C2774">
            <v>299</v>
          </cell>
          <cell r="D2774" t="str">
            <v>Meek_Aidan_25</v>
          </cell>
        </row>
        <row r="2775">
          <cell r="B2775">
            <v>45726</v>
          </cell>
          <cell r="C2775">
            <v>190.4</v>
          </cell>
          <cell r="D2775" t="str">
            <v>Melanson_Mike_25</v>
          </cell>
        </row>
        <row r="2776">
          <cell r="B2776">
            <v>45726</v>
          </cell>
          <cell r="C2776">
            <v>173.8</v>
          </cell>
          <cell r="D2776" t="str">
            <v>Mullican_Elias_25</v>
          </cell>
        </row>
        <row r="2777">
          <cell r="B2777">
            <v>45726</v>
          </cell>
          <cell r="C2777">
            <v>191.8</v>
          </cell>
          <cell r="D2777" t="str">
            <v>NA</v>
          </cell>
        </row>
        <row r="2778">
          <cell r="B2778">
            <v>45726</v>
          </cell>
          <cell r="C2778">
            <v>234.6</v>
          </cell>
          <cell r="D2778" t="str">
            <v>Nelson_Gavin_25</v>
          </cell>
        </row>
        <row r="2779">
          <cell r="B2779">
            <v>45726</v>
          </cell>
          <cell r="C2779">
            <v>274</v>
          </cell>
          <cell r="D2779" t="str">
            <v>Norris_Sammy_25</v>
          </cell>
        </row>
        <row r="2780">
          <cell r="B2780">
            <v>45726</v>
          </cell>
          <cell r="C2780">
            <v>172</v>
          </cell>
          <cell r="D2780" t="str">
            <v>Oliver_Jason_25</v>
          </cell>
        </row>
        <row r="2781">
          <cell r="B2781">
            <v>45726</v>
          </cell>
          <cell r="C2781">
            <v>308</v>
          </cell>
          <cell r="D2781" t="str">
            <v>Ortiz_Elijah_25</v>
          </cell>
        </row>
        <row r="2782">
          <cell r="B2782">
            <v>45726</v>
          </cell>
          <cell r="C2782">
            <v>228.4</v>
          </cell>
          <cell r="D2782" t="str">
            <v>Puloka_Fata_25</v>
          </cell>
        </row>
        <row r="2783">
          <cell r="B2783">
            <v>45726</v>
          </cell>
          <cell r="C2783">
            <v>328.2</v>
          </cell>
          <cell r="D2783" t="str">
            <v>Riley_Kenndel_25</v>
          </cell>
        </row>
        <row r="2784">
          <cell r="B2784">
            <v>45726</v>
          </cell>
          <cell r="C2784">
            <v>214</v>
          </cell>
          <cell r="D2784" t="str">
            <v>Rocha_Alex_25</v>
          </cell>
        </row>
        <row r="2785">
          <cell r="B2785">
            <v>45726</v>
          </cell>
          <cell r="C2785">
            <v>248</v>
          </cell>
          <cell r="D2785" t="str">
            <v>Scott_Brennon_25</v>
          </cell>
        </row>
        <row r="2786">
          <cell r="B2786">
            <v>45726</v>
          </cell>
          <cell r="C2786">
            <v>270.39999999999998</v>
          </cell>
          <cell r="D2786" t="str">
            <v>Slater_Luke_25</v>
          </cell>
        </row>
        <row r="2787">
          <cell r="B2787">
            <v>45726</v>
          </cell>
          <cell r="C2787">
            <v>187.6</v>
          </cell>
          <cell r="D2787" t="str">
            <v>Smith_Onterrio_25</v>
          </cell>
        </row>
        <row r="2788">
          <cell r="B2788">
            <v>45726</v>
          </cell>
          <cell r="C2788">
            <v>187.4</v>
          </cell>
          <cell r="D2788" t="str">
            <v>Solis_Jojo_25</v>
          </cell>
        </row>
        <row r="2789">
          <cell r="B2789">
            <v>45726</v>
          </cell>
          <cell r="C2789">
            <v>311</v>
          </cell>
          <cell r="D2789" t="str">
            <v>Soto_Jose_25</v>
          </cell>
        </row>
        <row r="2790">
          <cell r="B2790">
            <v>45726</v>
          </cell>
          <cell r="C2790">
            <v>304.39999999999998</v>
          </cell>
          <cell r="D2790" t="str">
            <v>Sousa_Brandon_25</v>
          </cell>
        </row>
        <row r="2791">
          <cell r="B2791">
            <v>45726</v>
          </cell>
          <cell r="C2791">
            <v>290.8</v>
          </cell>
          <cell r="D2791" t="str">
            <v>Speno_Joseph_25</v>
          </cell>
        </row>
        <row r="2792">
          <cell r="B2792">
            <v>45726</v>
          </cell>
          <cell r="C2792">
            <v>308</v>
          </cell>
          <cell r="D2792" t="str">
            <v>Summers_Bryson_25</v>
          </cell>
        </row>
        <row r="2793">
          <cell r="B2793">
            <v>45726</v>
          </cell>
          <cell r="C2793">
            <v>280.2</v>
          </cell>
          <cell r="D2793" t="str">
            <v>Tagaloa_Brodie_25</v>
          </cell>
        </row>
        <row r="2794">
          <cell r="B2794">
            <v>45726</v>
          </cell>
          <cell r="C2794">
            <v>232</v>
          </cell>
          <cell r="D2794" t="str">
            <v>Tanner_Logan_25</v>
          </cell>
        </row>
        <row r="2795">
          <cell r="B2795">
            <v>45726</v>
          </cell>
          <cell r="C2795">
            <v>159.19999999999999</v>
          </cell>
          <cell r="D2795" t="str">
            <v>Taylor_Adam_25</v>
          </cell>
        </row>
        <row r="2796">
          <cell r="B2796">
            <v>45726</v>
          </cell>
          <cell r="C2796">
            <v>238.4</v>
          </cell>
          <cell r="D2796" t="str">
            <v>Vi_Pita_25</v>
          </cell>
        </row>
        <row r="2797">
          <cell r="B2797">
            <v>45726</v>
          </cell>
          <cell r="C2797">
            <v>180.6</v>
          </cell>
          <cell r="D2797" t="str">
            <v>Williams_Cardell_25</v>
          </cell>
        </row>
        <row r="2798">
          <cell r="B2798">
            <v>45726</v>
          </cell>
          <cell r="C2798">
            <v>185</v>
          </cell>
          <cell r="D2798" t="str">
            <v>Williams_Jalen_25</v>
          </cell>
        </row>
        <row r="2799">
          <cell r="B2799">
            <v>45726</v>
          </cell>
          <cell r="C2799">
            <v>226.8</v>
          </cell>
          <cell r="D2799" t="str">
            <v>Williams_Jordan_25</v>
          </cell>
        </row>
        <row r="2800">
          <cell r="B2800">
            <v>45726</v>
          </cell>
          <cell r="C2800">
            <v>252</v>
          </cell>
          <cell r="D2800" t="str">
            <v>Williams_Xavier_25</v>
          </cell>
        </row>
        <row r="2801">
          <cell r="B2801">
            <v>45726</v>
          </cell>
          <cell r="C2801">
            <v>220.4</v>
          </cell>
          <cell r="D2801" t="str">
            <v>Wilson_Jace_25</v>
          </cell>
        </row>
        <row r="2802">
          <cell r="B2802">
            <v>45723</v>
          </cell>
          <cell r="C2802">
            <v>286.39999999999998</v>
          </cell>
          <cell r="D2802" t="str">
            <v>Abdullah_Dean_25</v>
          </cell>
        </row>
        <row r="2803">
          <cell r="B2803">
            <v>45723</v>
          </cell>
          <cell r="C2803">
            <v>190.6</v>
          </cell>
          <cell r="D2803" t="str">
            <v>Akui_Koa_25</v>
          </cell>
        </row>
        <row r="2804">
          <cell r="B2804">
            <v>45723</v>
          </cell>
          <cell r="C2804">
            <v>260.60000000000002</v>
          </cell>
          <cell r="D2804" t="str">
            <v>Ambuehl_Davis_25</v>
          </cell>
        </row>
        <row r="2805">
          <cell r="B2805">
            <v>45723</v>
          </cell>
          <cell r="C2805">
            <v>206</v>
          </cell>
          <cell r="D2805" t="str">
            <v>Anderson_Hayden_25</v>
          </cell>
        </row>
        <row r="2806">
          <cell r="B2806">
            <v>45723</v>
          </cell>
          <cell r="C2806">
            <v>173.2</v>
          </cell>
          <cell r="D2806" t="str">
            <v>Anderson_Jordan_25</v>
          </cell>
        </row>
        <row r="2807">
          <cell r="B2807">
            <v>45723</v>
          </cell>
          <cell r="C2807">
            <v>286.2</v>
          </cell>
          <cell r="D2807" t="str">
            <v>Bailey_Miles_25</v>
          </cell>
        </row>
        <row r="2808">
          <cell r="B2808">
            <v>45723</v>
          </cell>
          <cell r="C2808">
            <v>218.8</v>
          </cell>
          <cell r="D2808" t="str">
            <v>Boeddeker_Hunter_25</v>
          </cell>
        </row>
        <row r="2809">
          <cell r="B2809">
            <v>45723</v>
          </cell>
          <cell r="C2809">
            <v>186.8</v>
          </cell>
          <cell r="D2809" t="str">
            <v>Borders_Curron_25</v>
          </cell>
        </row>
        <row r="2810">
          <cell r="B2810">
            <v>45723</v>
          </cell>
          <cell r="C2810">
            <v>159.4</v>
          </cell>
          <cell r="D2810" t="str">
            <v>Bryant_Ajon_25</v>
          </cell>
        </row>
        <row r="2811">
          <cell r="B2811">
            <v>45723</v>
          </cell>
          <cell r="C2811">
            <v>239</v>
          </cell>
          <cell r="D2811" t="str">
            <v>Cashiola_Josh_25</v>
          </cell>
        </row>
        <row r="2812">
          <cell r="B2812">
            <v>45723</v>
          </cell>
          <cell r="C2812">
            <v>174.2</v>
          </cell>
          <cell r="D2812" t="str">
            <v>Curtis_Jamar_25</v>
          </cell>
        </row>
        <row r="2813">
          <cell r="B2813">
            <v>45723</v>
          </cell>
          <cell r="C2813">
            <v>232.8</v>
          </cell>
          <cell r="D2813" t="str">
            <v>Davis_Diego_25</v>
          </cell>
        </row>
        <row r="2814">
          <cell r="B2814">
            <v>45723</v>
          </cell>
          <cell r="C2814">
            <v>201.4</v>
          </cell>
          <cell r="D2814" t="str">
            <v>Emerson_Yebrell_25</v>
          </cell>
        </row>
        <row r="2815">
          <cell r="B2815">
            <v>45723</v>
          </cell>
          <cell r="C2815">
            <v>225.2</v>
          </cell>
          <cell r="D2815" t="str">
            <v>Eskridge_Matthew_25</v>
          </cell>
        </row>
        <row r="2816">
          <cell r="B2816">
            <v>45723</v>
          </cell>
          <cell r="C2816">
            <v>185.2</v>
          </cell>
          <cell r="D2816" t="str">
            <v>Firebaugh_Joseph_25</v>
          </cell>
        </row>
        <row r="2817">
          <cell r="B2817">
            <v>45723</v>
          </cell>
          <cell r="C2817">
            <v>171.6</v>
          </cell>
          <cell r="D2817" t="str">
            <v>Fresques_Jaxon_25</v>
          </cell>
        </row>
        <row r="2818">
          <cell r="B2818">
            <v>45723</v>
          </cell>
          <cell r="C2818">
            <v>294.60000000000002</v>
          </cell>
          <cell r="D2818" t="str">
            <v>Gretlein_Cade_25</v>
          </cell>
        </row>
        <row r="2819">
          <cell r="B2819">
            <v>45723</v>
          </cell>
          <cell r="C2819">
            <v>198</v>
          </cell>
          <cell r="D2819" t="str">
            <v>Hammond_Rodney_25</v>
          </cell>
        </row>
        <row r="2820">
          <cell r="B2820">
            <v>45723</v>
          </cell>
          <cell r="C2820">
            <v>294</v>
          </cell>
          <cell r="D2820" t="str">
            <v>Hays_Sawyer_25</v>
          </cell>
        </row>
        <row r="2821">
          <cell r="B2821">
            <v>45723</v>
          </cell>
          <cell r="C2821">
            <v>212.8</v>
          </cell>
          <cell r="D2821" t="str">
            <v>Henderson_Damian_25</v>
          </cell>
        </row>
        <row r="2822">
          <cell r="B2822">
            <v>45723</v>
          </cell>
          <cell r="C2822">
            <v>228.4</v>
          </cell>
          <cell r="D2822" t="str">
            <v>Houston_Derek_25</v>
          </cell>
        </row>
        <row r="2823">
          <cell r="B2823">
            <v>45723</v>
          </cell>
          <cell r="C2823">
            <v>209.4</v>
          </cell>
          <cell r="D2823" t="str">
            <v>Huddle_Elijah_25</v>
          </cell>
        </row>
        <row r="2824">
          <cell r="B2824">
            <v>45723</v>
          </cell>
          <cell r="C2824">
            <v>186.4</v>
          </cell>
          <cell r="D2824" t="str">
            <v>Johnson-Burrell_Lamont_25</v>
          </cell>
        </row>
        <row r="2825">
          <cell r="B2825">
            <v>45723</v>
          </cell>
          <cell r="C2825">
            <v>212.4</v>
          </cell>
          <cell r="D2825" t="str">
            <v>Johnston_Adam_25</v>
          </cell>
        </row>
        <row r="2826">
          <cell r="B2826">
            <v>45723</v>
          </cell>
          <cell r="C2826">
            <v>301</v>
          </cell>
          <cell r="D2826" t="str">
            <v>Kovacs_Giovanni_25</v>
          </cell>
        </row>
        <row r="2827">
          <cell r="B2827">
            <v>45723</v>
          </cell>
          <cell r="C2827">
            <v>162.4</v>
          </cell>
          <cell r="D2827" t="str">
            <v>Lee_Ricky_25</v>
          </cell>
        </row>
        <row r="2828">
          <cell r="B2828">
            <v>45723</v>
          </cell>
          <cell r="C2828">
            <v>335.2</v>
          </cell>
          <cell r="D2828" t="str">
            <v>May_Davis_25</v>
          </cell>
        </row>
        <row r="2829">
          <cell r="B2829">
            <v>45723</v>
          </cell>
          <cell r="C2829">
            <v>180</v>
          </cell>
          <cell r="D2829" t="str">
            <v>McDaniel_Damien_25</v>
          </cell>
        </row>
        <row r="2830">
          <cell r="B2830">
            <v>45723</v>
          </cell>
          <cell r="C2830">
            <v>184.2</v>
          </cell>
          <cell r="D2830" t="str">
            <v>McDowell_Connor_25</v>
          </cell>
        </row>
        <row r="2831">
          <cell r="B2831">
            <v>45723</v>
          </cell>
          <cell r="C2831">
            <v>276.8</v>
          </cell>
          <cell r="D2831" t="str">
            <v>McGlothen_Jayland_25</v>
          </cell>
        </row>
        <row r="2832">
          <cell r="B2832">
            <v>45723</v>
          </cell>
          <cell r="C2832">
            <v>194</v>
          </cell>
          <cell r="D2832" t="str">
            <v>McGough_Cal_25</v>
          </cell>
        </row>
        <row r="2833">
          <cell r="B2833">
            <v>45723</v>
          </cell>
          <cell r="C2833">
            <v>292.8</v>
          </cell>
          <cell r="D2833" t="str">
            <v>McKay_Richard_25</v>
          </cell>
        </row>
        <row r="2834">
          <cell r="B2834">
            <v>45723</v>
          </cell>
          <cell r="C2834">
            <v>196.2</v>
          </cell>
          <cell r="D2834" t="str">
            <v>McKenzie_Anta'Veon_25</v>
          </cell>
        </row>
        <row r="2835">
          <cell r="B2835">
            <v>45723</v>
          </cell>
          <cell r="C2835">
            <v>181</v>
          </cell>
          <cell r="D2835" t="str">
            <v>Meadors_Grant_25</v>
          </cell>
        </row>
        <row r="2836">
          <cell r="B2836">
            <v>45723</v>
          </cell>
          <cell r="C2836">
            <v>301.39999999999998</v>
          </cell>
          <cell r="D2836" t="str">
            <v>Meek_Aidan_25</v>
          </cell>
        </row>
        <row r="2837">
          <cell r="B2837">
            <v>45723</v>
          </cell>
          <cell r="C2837">
            <v>190.6</v>
          </cell>
          <cell r="D2837" t="str">
            <v>Melanson_Mike_25</v>
          </cell>
        </row>
        <row r="2838">
          <cell r="B2838">
            <v>45723</v>
          </cell>
          <cell r="C2838">
            <v>172</v>
          </cell>
          <cell r="D2838" t="str">
            <v>Mullican_Elias_25</v>
          </cell>
        </row>
        <row r="2839">
          <cell r="B2839">
            <v>45723</v>
          </cell>
          <cell r="C2839">
            <v>192.6</v>
          </cell>
          <cell r="D2839" t="str">
            <v>NA</v>
          </cell>
        </row>
        <row r="2840">
          <cell r="B2840">
            <v>45723</v>
          </cell>
          <cell r="C2840">
            <v>235.8</v>
          </cell>
          <cell r="D2840" t="str">
            <v>Nelson_Gavin_25</v>
          </cell>
        </row>
        <row r="2841">
          <cell r="B2841">
            <v>45723</v>
          </cell>
          <cell r="C2841">
            <v>271.8</v>
          </cell>
          <cell r="D2841" t="str">
            <v>Norris_Sammy_25</v>
          </cell>
        </row>
        <row r="2842">
          <cell r="B2842">
            <v>45723</v>
          </cell>
          <cell r="C2842">
            <v>171.2</v>
          </cell>
          <cell r="D2842" t="str">
            <v>Oliver_Jason_25</v>
          </cell>
        </row>
        <row r="2843">
          <cell r="B2843">
            <v>45723</v>
          </cell>
          <cell r="C2843">
            <v>304.8</v>
          </cell>
          <cell r="D2843" t="str">
            <v>Ortiz_Elijah_25</v>
          </cell>
        </row>
        <row r="2844">
          <cell r="B2844">
            <v>45723</v>
          </cell>
          <cell r="C2844">
            <v>330.2</v>
          </cell>
          <cell r="D2844" t="str">
            <v>Riley_Kenndel_25</v>
          </cell>
        </row>
        <row r="2845">
          <cell r="B2845">
            <v>45723</v>
          </cell>
          <cell r="C2845">
            <v>213.4</v>
          </cell>
          <cell r="D2845" t="str">
            <v>Rocha_Alex_25</v>
          </cell>
        </row>
        <row r="2846">
          <cell r="B2846">
            <v>45723</v>
          </cell>
          <cell r="C2846">
            <v>252</v>
          </cell>
          <cell r="D2846" t="str">
            <v>Scott_Brennon_25</v>
          </cell>
        </row>
        <row r="2847">
          <cell r="B2847">
            <v>45723</v>
          </cell>
          <cell r="C2847">
            <v>270.60000000000002</v>
          </cell>
          <cell r="D2847" t="str">
            <v>Slater_Luke_25</v>
          </cell>
        </row>
        <row r="2848">
          <cell r="B2848">
            <v>45723</v>
          </cell>
          <cell r="C2848">
            <v>186</v>
          </cell>
          <cell r="D2848" t="str">
            <v>Smith_Onterrio_25</v>
          </cell>
        </row>
        <row r="2849">
          <cell r="B2849">
            <v>45723</v>
          </cell>
          <cell r="C2849">
            <v>187.2</v>
          </cell>
          <cell r="D2849" t="str">
            <v>Solis_Jojo_25</v>
          </cell>
        </row>
        <row r="2850">
          <cell r="B2850">
            <v>45723</v>
          </cell>
          <cell r="C2850">
            <v>306.39999999999998</v>
          </cell>
          <cell r="D2850" t="str">
            <v>Soto_Jose_25</v>
          </cell>
        </row>
        <row r="2851">
          <cell r="B2851">
            <v>45723</v>
          </cell>
          <cell r="C2851">
            <v>304.39999999999998</v>
          </cell>
          <cell r="D2851" t="str">
            <v>Sousa_Brandon_25</v>
          </cell>
        </row>
        <row r="2852">
          <cell r="B2852">
            <v>45723</v>
          </cell>
          <cell r="C2852">
            <v>285.8</v>
          </cell>
          <cell r="D2852" t="str">
            <v>Speno_Joseph_25</v>
          </cell>
        </row>
        <row r="2853">
          <cell r="B2853">
            <v>45723</v>
          </cell>
          <cell r="C2853">
            <v>308.39999999999998</v>
          </cell>
          <cell r="D2853" t="str">
            <v>Summers_Bryson_25</v>
          </cell>
        </row>
        <row r="2854">
          <cell r="B2854">
            <v>45723</v>
          </cell>
          <cell r="C2854">
            <v>281.60000000000002</v>
          </cell>
          <cell r="D2854" t="str">
            <v>Tagaloa_Brodie_25</v>
          </cell>
        </row>
        <row r="2855">
          <cell r="B2855">
            <v>45723</v>
          </cell>
          <cell r="C2855">
            <v>230.4</v>
          </cell>
          <cell r="D2855" t="str">
            <v>Tanner_Logan_25</v>
          </cell>
        </row>
        <row r="2856">
          <cell r="B2856">
            <v>45723</v>
          </cell>
          <cell r="C2856">
            <v>160</v>
          </cell>
          <cell r="D2856" t="str">
            <v>Taylor_Adam_25</v>
          </cell>
        </row>
        <row r="2857">
          <cell r="B2857">
            <v>45723</v>
          </cell>
          <cell r="C2857">
            <v>234.2</v>
          </cell>
          <cell r="D2857" t="str">
            <v>Vi_Pita_25</v>
          </cell>
        </row>
        <row r="2858">
          <cell r="B2858">
            <v>45723</v>
          </cell>
          <cell r="C2858">
            <v>181</v>
          </cell>
          <cell r="D2858" t="str">
            <v>Williams_Cardell_25</v>
          </cell>
        </row>
        <row r="2859">
          <cell r="B2859">
            <v>45723</v>
          </cell>
          <cell r="C2859">
            <v>183.6</v>
          </cell>
          <cell r="D2859" t="str">
            <v>Williams_Jalen_25</v>
          </cell>
        </row>
        <row r="2860">
          <cell r="B2860">
            <v>45723</v>
          </cell>
          <cell r="C2860">
            <v>214.6</v>
          </cell>
          <cell r="D2860" t="str">
            <v>Williams_Jordan_25</v>
          </cell>
        </row>
        <row r="2861">
          <cell r="B2861">
            <v>45723</v>
          </cell>
          <cell r="C2861">
            <v>254.4</v>
          </cell>
          <cell r="D2861" t="str">
            <v>Williams_Xavier_25</v>
          </cell>
        </row>
        <row r="2862">
          <cell r="B2862">
            <v>45723</v>
          </cell>
          <cell r="C2862">
            <v>216.2</v>
          </cell>
          <cell r="D2862" t="str">
            <v>Wilson_Jace_25</v>
          </cell>
        </row>
        <row r="2863">
          <cell r="B2863">
            <v>45719</v>
          </cell>
          <cell r="C2863">
            <v>289.2</v>
          </cell>
          <cell r="D2863" t="str">
            <v>Abdullah_Dean_25</v>
          </cell>
        </row>
        <row r="2864">
          <cell r="B2864">
            <v>45719</v>
          </cell>
          <cell r="C2864">
            <v>190</v>
          </cell>
          <cell r="D2864" t="str">
            <v>Akui_Koa_25</v>
          </cell>
        </row>
        <row r="2865">
          <cell r="B2865">
            <v>45719</v>
          </cell>
          <cell r="C2865">
            <v>264.2</v>
          </cell>
          <cell r="D2865" t="str">
            <v>Ambuehl_Davis_25</v>
          </cell>
        </row>
        <row r="2866">
          <cell r="B2866">
            <v>45719</v>
          </cell>
          <cell r="C2866">
            <v>208.4</v>
          </cell>
          <cell r="D2866" t="str">
            <v>Anderson_Hayden_25</v>
          </cell>
        </row>
        <row r="2867">
          <cell r="B2867">
            <v>45719</v>
          </cell>
          <cell r="C2867">
            <v>172.6</v>
          </cell>
          <cell r="D2867" t="str">
            <v>Anderson_Jordan_25</v>
          </cell>
        </row>
        <row r="2868">
          <cell r="B2868">
            <v>45719</v>
          </cell>
          <cell r="C2868">
            <v>285</v>
          </cell>
          <cell r="D2868" t="str">
            <v>Bailey_Miles_25</v>
          </cell>
        </row>
        <row r="2869">
          <cell r="B2869">
            <v>45719</v>
          </cell>
          <cell r="C2869">
            <v>217</v>
          </cell>
          <cell r="D2869" t="str">
            <v>Boeddeker_Hunter_25</v>
          </cell>
        </row>
        <row r="2870">
          <cell r="B2870">
            <v>45719</v>
          </cell>
          <cell r="C2870">
            <v>188.2</v>
          </cell>
          <cell r="D2870" t="str">
            <v>Borders_Curron_25</v>
          </cell>
        </row>
        <row r="2871">
          <cell r="B2871">
            <v>45719</v>
          </cell>
          <cell r="C2871">
            <v>161.19999999999999</v>
          </cell>
          <cell r="D2871" t="str">
            <v>Bryant_Ajon_25</v>
          </cell>
        </row>
        <row r="2872">
          <cell r="B2872">
            <v>45719</v>
          </cell>
          <cell r="C2872">
            <v>236</v>
          </cell>
          <cell r="D2872" t="str">
            <v>Cashiola_Josh_25</v>
          </cell>
        </row>
        <row r="2873">
          <cell r="B2873">
            <v>45719</v>
          </cell>
          <cell r="C2873">
            <v>158.80000000000001</v>
          </cell>
          <cell r="D2873" t="str">
            <v>Conerly_Tim_25</v>
          </cell>
        </row>
        <row r="2874">
          <cell r="B2874">
            <v>45719</v>
          </cell>
          <cell r="C2874">
            <v>174.4</v>
          </cell>
          <cell r="D2874" t="str">
            <v>Curtis_Jamar_25</v>
          </cell>
        </row>
        <row r="2875">
          <cell r="B2875">
            <v>45719</v>
          </cell>
          <cell r="C2875">
            <v>231</v>
          </cell>
          <cell r="D2875" t="str">
            <v>Davis_Diego_25</v>
          </cell>
        </row>
        <row r="2876">
          <cell r="B2876">
            <v>45719</v>
          </cell>
          <cell r="C2876">
            <v>199.4</v>
          </cell>
          <cell r="D2876" t="str">
            <v>Emerson_Yebrell_25</v>
          </cell>
        </row>
        <row r="2877">
          <cell r="B2877">
            <v>45719</v>
          </cell>
          <cell r="C2877">
            <v>224.4</v>
          </cell>
          <cell r="D2877" t="str">
            <v>Eskridge_Matthew_25</v>
          </cell>
        </row>
        <row r="2878">
          <cell r="B2878">
            <v>45719</v>
          </cell>
          <cell r="C2878">
            <v>182.2</v>
          </cell>
          <cell r="D2878" t="str">
            <v>Firebaugh_Joseph_25</v>
          </cell>
        </row>
        <row r="2879">
          <cell r="B2879">
            <v>45719</v>
          </cell>
          <cell r="C2879">
            <v>173</v>
          </cell>
          <cell r="D2879" t="str">
            <v>Fresques_Jaxon_25</v>
          </cell>
        </row>
        <row r="2880">
          <cell r="B2880">
            <v>45719</v>
          </cell>
          <cell r="C2880">
            <v>294.2</v>
          </cell>
          <cell r="D2880" t="str">
            <v>Gretlein_Cade_25</v>
          </cell>
        </row>
        <row r="2881">
          <cell r="B2881">
            <v>45719</v>
          </cell>
          <cell r="C2881">
            <v>198.8</v>
          </cell>
          <cell r="D2881" t="str">
            <v>Hammond_Rodney_25</v>
          </cell>
        </row>
        <row r="2882">
          <cell r="B2882">
            <v>45719</v>
          </cell>
          <cell r="C2882">
            <v>294.2</v>
          </cell>
          <cell r="D2882" t="str">
            <v>Hays_Sawyer_25</v>
          </cell>
        </row>
        <row r="2883">
          <cell r="B2883">
            <v>45719</v>
          </cell>
          <cell r="C2883">
            <v>211.4</v>
          </cell>
          <cell r="D2883" t="str">
            <v>Henderson_Damian_25</v>
          </cell>
        </row>
        <row r="2884">
          <cell r="B2884">
            <v>45719</v>
          </cell>
          <cell r="C2884">
            <v>190</v>
          </cell>
          <cell r="D2884" t="str">
            <v>Higgins_Kaleb_25</v>
          </cell>
        </row>
        <row r="2885">
          <cell r="B2885">
            <v>45719</v>
          </cell>
          <cell r="C2885">
            <v>229</v>
          </cell>
          <cell r="D2885" t="str">
            <v>Houston_Derek_25</v>
          </cell>
        </row>
        <row r="2886">
          <cell r="B2886">
            <v>45719</v>
          </cell>
          <cell r="C2886">
            <v>208.6</v>
          </cell>
          <cell r="D2886" t="str">
            <v>Huddle_Elijah_25</v>
          </cell>
        </row>
        <row r="2887">
          <cell r="B2887">
            <v>45719</v>
          </cell>
          <cell r="C2887">
            <v>184.5</v>
          </cell>
          <cell r="D2887" t="str">
            <v>Johnson-Burrell_Lamont_25</v>
          </cell>
        </row>
        <row r="2888">
          <cell r="B2888">
            <v>45719</v>
          </cell>
          <cell r="C2888">
            <v>214.8</v>
          </cell>
          <cell r="D2888" t="str">
            <v>Johnston_Adam_25</v>
          </cell>
        </row>
        <row r="2889">
          <cell r="B2889">
            <v>45719</v>
          </cell>
          <cell r="C2889">
            <v>302</v>
          </cell>
          <cell r="D2889" t="str">
            <v>Kovacs_Giovanni_25</v>
          </cell>
        </row>
        <row r="2890">
          <cell r="B2890">
            <v>45719</v>
          </cell>
          <cell r="C2890">
            <v>161.19999999999999</v>
          </cell>
          <cell r="D2890" t="str">
            <v>Lee_Ricky_25</v>
          </cell>
        </row>
        <row r="2891">
          <cell r="B2891">
            <v>45719</v>
          </cell>
          <cell r="C2891">
            <v>336.4</v>
          </cell>
          <cell r="D2891" t="str">
            <v>May_Davis_25</v>
          </cell>
        </row>
        <row r="2892">
          <cell r="B2892">
            <v>45719</v>
          </cell>
          <cell r="C2892">
            <v>179</v>
          </cell>
          <cell r="D2892" t="str">
            <v>McDaniel_Damien_25</v>
          </cell>
        </row>
        <row r="2893">
          <cell r="B2893">
            <v>45719</v>
          </cell>
          <cell r="C2893">
            <v>182.4</v>
          </cell>
          <cell r="D2893" t="str">
            <v>McDowell_Connor_25</v>
          </cell>
        </row>
        <row r="2894">
          <cell r="B2894">
            <v>45719</v>
          </cell>
          <cell r="C2894">
            <v>278</v>
          </cell>
          <cell r="D2894" t="str">
            <v>McGlothen_Jayland_25</v>
          </cell>
        </row>
        <row r="2895">
          <cell r="B2895">
            <v>45719</v>
          </cell>
          <cell r="C2895">
            <v>191.4</v>
          </cell>
          <cell r="D2895" t="str">
            <v>McGough_Cal_25</v>
          </cell>
        </row>
        <row r="2896">
          <cell r="B2896">
            <v>45719</v>
          </cell>
          <cell r="C2896">
            <v>295.60000000000002</v>
          </cell>
          <cell r="D2896" t="str">
            <v>McKay_Richard_25</v>
          </cell>
        </row>
        <row r="2897">
          <cell r="B2897">
            <v>45719</v>
          </cell>
          <cell r="C2897">
            <v>195.4</v>
          </cell>
          <cell r="D2897" t="str">
            <v>McKenzie_Anta'Veon_25</v>
          </cell>
        </row>
        <row r="2898">
          <cell r="B2898">
            <v>45719</v>
          </cell>
          <cell r="C2898">
            <v>181.2</v>
          </cell>
          <cell r="D2898" t="str">
            <v>Meadors_Grant_25</v>
          </cell>
        </row>
        <row r="2899">
          <cell r="B2899">
            <v>45719</v>
          </cell>
          <cell r="C2899">
            <v>300</v>
          </cell>
          <cell r="D2899" t="str">
            <v>Meek_Aidan_25</v>
          </cell>
        </row>
        <row r="2900">
          <cell r="B2900">
            <v>45719</v>
          </cell>
          <cell r="C2900">
            <v>189</v>
          </cell>
          <cell r="D2900" t="str">
            <v>Melanson_Mike_25</v>
          </cell>
        </row>
        <row r="2901">
          <cell r="B2901">
            <v>45719</v>
          </cell>
          <cell r="C2901">
            <v>170.8</v>
          </cell>
          <cell r="D2901" t="str">
            <v>Mullican_Elias_25</v>
          </cell>
        </row>
        <row r="2902">
          <cell r="B2902">
            <v>45719</v>
          </cell>
          <cell r="C2902">
            <v>192</v>
          </cell>
          <cell r="D2902" t="str">
            <v>NA</v>
          </cell>
        </row>
        <row r="2903">
          <cell r="B2903">
            <v>45719</v>
          </cell>
          <cell r="C2903">
            <v>238.2</v>
          </cell>
          <cell r="D2903" t="str">
            <v>Nelson_Gavin_25</v>
          </cell>
        </row>
        <row r="2904">
          <cell r="B2904">
            <v>45719</v>
          </cell>
          <cell r="C2904">
            <v>271</v>
          </cell>
          <cell r="D2904" t="str">
            <v>Norris_Sammy_25</v>
          </cell>
        </row>
        <row r="2905">
          <cell r="B2905">
            <v>45719</v>
          </cell>
          <cell r="C2905">
            <v>169.4</v>
          </cell>
          <cell r="D2905" t="str">
            <v>Oliver_Jason_25</v>
          </cell>
        </row>
        <row r="2906">
          <cell r="B2906">
            <v>45719</v>
          </cell>
          <cell r="C2906">
            <v>306.8</v>
          </cell>
          <cell r="D2906" t="str">
            <v>Ortiz_Elijah_25</v>
          </cell>
        </row>
        <row r="2907">
          <cell r="B2907">
            <v>45719</v>
          </cell>
          <cell r="C2907">
            <v>225</v>
          </cell>
          <cell r="D2907" t="str">
            <v>Puloka_Fata_25</v>
          </cell>
        </row>
        <row r="2908">
          <cell r="B2908">
            <v>45719</v>
          </cell>
          <cell r="C2908">
            <v>326.8</v>
          </cell>
          <cell r="D2908" t="str">
            <v>Riley_Kenndel_25</v>
          </cell>
        </row>
        <row r="2909">
          <cell r="B2909">
            <v>45719</v>
          </cell>
          <cell r="C2909">
            <v>214</v>
          </cell>
          <cell r="D2909" t="str">
            <v>Rocha_Alex_25</v>
          </cell>
        </row>
        <row r="2910">
          <cell r="B2910">
            <v>45719</v>
          </cell>
          <cell r="C2910">
            <v>251</v>
          </cell>
          <cell r="D2910" t="str">
            <v>Scott_Brennon_25</v>
          </cell>
        </row>
        <row r="2911">
          <cell r="B2911">
            <v>45719</v>
          </cell>
          <cell r="C2911">
            <v>270</v>
          </cell>
          <cell r="D2911" t="str">
            <v>Slater_Luke_25</v>
          </cell>
        </row>
        <row r="2912">
          <cell r="B2912">
            <v>45719</v>
          </cell>
          <cell r="C2912">
            <v>185.8</v>
          </cell>
          <cell r="D2912" t="str">
            <v>Smith_Onterrio_25</v>
          </cell>
        </row>
        <row r="2913">
          <cell r="B2913">
            <v>45719</v>
          </cell>
          <cell r="C2913">
            <v>190</v>
          </cell>
          <cell r="D2913" t="str">
            <v>Solis_Jojo_25</v>
          </cell>
        </row>
        <row r="2914">
          <cell r="B2914">
            <v>45719</v>
          </cell>
          <cell r="C2914">
            <v>310.2</v>
          </cell>
          <cell r="D2914" t="str">
            <v>Soto_Jose_25</v>
          </cell>
        </row>
        <row r="2915">
          <cell r="B2915">
            <v>45719</v>
          </cell>
          <cell r="C2915">
            <v>304.60000000000002</v>
          </cell>
          <cell r="D2915" t="str">
            <v>Sousa_Brandon_25</v>
          </cell>
        </row>
        <row r="2916">
          <cell r="B2916">
            <v>45719</v>
          </cell>
          <cell r="C2916">
            <v>288.2</v>
          </cell>
          <cell r="D2916" t="str">
            <v>Speno_Joseph_25</v>
          </cell>
        </row>
        <row r="2917">
          <cell r="B2917">
            <v>45719</v>
          </cell>
          <cell r="C2917">
            <v>308</v>
          </cell>
          <cell r="D2917" t="str">
            <v>Summers_Bryson_25</v>
          </cell>
        </row>
        <row r="2918">
          <cell r="B2918">
            <v>45719</v>
          </cell>
          <cell r="C2918">
            <v>277</v>
          </cell>
          <cell r="D2918" t="str">
            <v>Tagaloa_Brodie_25</v>
          </cell>
        </row>
        <row r="2919">
          <cell r="B2919">
            <v>45719</v>
          </cell>
          <cell r="C2919">
            <v>228</v>
          </cell>
          <cell r="D2919" t="str">
            <v>Tanner_Logan_25</v>
          </cell>
        </row>
        <row r="2920">
          <cell r="B2920">
            <v>45719</v>
          </cell>
          <cell r="C2920">
            <v>164</v>
          </cell>
          <cell r="D2920" t="str">
            <v>Taylor_Adam_25</v>
          </cell>
        </row>
        <row r="2921">
          <cell r="B2921">
            <v>45719</v>
          </cell>
          <cell r="C2921">
            <v>240.4</v>
          </cell>
          <cell r="D2921" t="str">
            <v>Vi_Pita_25</v>
          </cell>
        </row>
        <row r="2922">
          <cell r="B2922">
            <v>45719</v>
          </cell>
          <cell r="C2922">
            <v>180.4</v>
          </cell>
          <cell r="D2922" t="str">
            <v>Williams_Cardell_25</v>
          </cell>
        </row>
        <row r="2923">
          <cell r="B2923">
            <v>45719</v>
          </cell>
          <cell r="C2923">
            <v>184.6</v>
          </cell>
          <cell r="D2923" t="str">
            <v>Williams_Jalen_25</v>
          </cell>
        </row>
        <row r="2924">
          <cell r="B2924">
            <v>45719</v>
          </cell>
          <cell r="C2924">
            <v>221.8</v>
          </cell>
          <cell r="D2924" t="str">
            <v>Williams_Jordan_25</v>
          </cell>
        </row>
        <row r="2925">
          <cell r="B2925">
            <v>45719</v>
          </cell>
          <cell r="C2925">
            <v>255</v>
          </cell>
          <cell r="D2925" t="str">
            <v>Williams_Xavier_25</v>
          </cell>
        </row>
        <row r="2926">
          <cell r="B2926">
            <v>45719</v>
          </cell>
          <cell r="C2926">
            <v>220.2</v>
          </cell>
          <cell r="D2926" t="str">
            <v>Wilson_Jace_25</v>
          </cell>
        </row>
        <row r="2927">
          <cell r="B2927">
            <v>45715</v>
          </cell>
          <cell r="C2927">
            <v>290.8</v>
          </cell>
          <cell r="D2927" t="str">
            <v>Abdullah_Dean_25</v>
          </cell>
        </row>
        <row r="2928">
          <cell r="B2928">
            <v>45715</v>
          </cell>
          <cell r="C2928">
            <v>190</v>
          </cell>
          <cell r="D2928" t="str">
            <v>Akui_Koa_25</v>
          </cell>
        </row>
        <row r="2929">
          <cell r="B2929">
            <v>45715</v>
          </cell>
          <cell r="C2929">
            <v>262</v>
          </cell>
          <cell r="D2929" t="str">
            <v>Ambuehl_Davis_25</v>
          </cell>
        </row>
        <row r="2930">
          <cell r="B2930">
            <v>45715</v>
          </cell>
          <cell r="C2930">
            <v>204.6</v>
          </cell>
          <cell r="D2930" t="str">
            <v>Anderson_Hayden_25</v>
          </cell>
        </row>
        <row r="2931">
          <cell r="B2931">
            <v>45715</v>
          </cell>
          <cell r="C2931">
            <v>174.2</v>
          </cell>
          <cell r="D2931" t="str">
            <v>Anderson_Jordan_25</v>
          </cell>
        </row>
        <row r="2932">
          <cell r="B2932">
            <v>45715</v>
          </cell>
          <cell r="C2932">
            <v>288.2</v>
          </cell>
          <cell r="D2932" t="str">
            <v>Bailey_Miles_25</v>
          </cell>
        </row>
        <row r="2933">
          <cell r="B2933">
            <v>45715</v>
          </cell>
          <cell r="C2933">
            <v>218</v>
          </cell>
          <cell r="D2933" t="str">
            <v>Boeddeker_Hunter_25</v>
          </cell>
        </row>
        <row r="2934">
          <cell r="B2934">
            <v>45715</v>
          </cell>
          <cell r="C2934">
            <v>188.8</v>
          </cell>
          <cell r="D2934" t="str">
            <v>Borders_Curron_25</v>
          </cell>
        </row>
        <row r="2935">
          <cell r="B2935">
            <v>45715</v>
          </cell>
          <cell r="C2935">
            <v>156.4</v>
          </cell>
          <cell r="D2935" t="str">
            <v>Bryant_Ajon_25</v>
          </cell>
        </row>
        <row r="2936">
          <cell r="B2936">
            <v>45715</v>
          </cell>
          <cell r="C2936">
            <v>238.8</v>
          </cell>
          <cell r="D2936" t="str">
            <v>Cashiola_Josh_25</v>
          </cell>
        </row>
        <row r="2937">
          <cell r="B2937">
            <v>45715</v>
          </cell>
          <cell r="C2937">
            <v>158</v>
          </cell>
          <cell r="D2937" t="str">
            <v>Conerly_Tim_25</v>
          </cell>
        </row>
        <row r="2938">
          <cell r="B2938">
            <v>45715</v>
          </cell>
          <cell r="C2938">
            <v>175</v>
          </cell>
          <cell r="D2938" t="str">
            <v>Curtis_Jamar_25</v>
          </cell>
        </row>
        <row r="2939">
          <cell r="B2939">
            <v>45715</v>
          </cell>
          <cell r="C2939">
            <v>228</v>
          </cell>
          <cell r="D2939" t="str">
            <v>Davis_Diego_25</v>
          </cell>
        </row>
        <row r="2940">
          <cell r="B2940">
            <v>45715</v>
          </cell>
          <cell r="C2940">
            <v>202</v>
          </cell>
          <cell r="D2940" t="str">
            <v>Emerson_Yebrell_25</v>
          </cell>
        </row>
        <row r="2941">
          <cell r="B2941">
            <v>45715</v>
          </cell>
          <cell r="C2941">
            <v>222.2</v>
          </cell>
          <cell r="D2941" t="str">
            <v>Eskridge_Matthew_25</v>
          </cell>
        </row>
        <row r="2942">
          <cell r="B2942">
            <v>45715</v>
          </cell>
          <cell r="C2942">
            <v>184</v>
          </cell>
          <cell r="D2942" t="str">
            <v>Firebaugh_Joseph_25</v>
          </cell>
        </row>
        <row r="2943">
          <cell r="B2943">
            <v>45715</v>
          </cell>
          <cell r="C2943">
            <v>173.6</v>
          </cell>
          <cell r="D2943" t="str">
            <v>Fresques_Jaxon_25</v>
          </cell>
        </row>
        <row r="2944">
          <cell r="B2944">
            <v>45715</v>
          </cell>
          <cell r="C2944">
            <v>295.39999999999998</v>
          </cell>
          <cell r="D2944" t="str">
            <v>Gretlein_Cade_25</v>
          </cell>
        </row>
        <row r="2945">
          <cell r="B2945">
            <v>45715</v>
          </cell>
          <cell r="C2945">
            <v>198.8</v>
          </cell>
          <cell r="D2945" t="str">
            <v>Hammond_Rodney_25</v>
          </cell>
        </row>
        <row r="2946">
          <cell r="B2946">
            <v>45715</v>
          </cell>
          <cell r="C2946">
            <v>294.60000000000002</v>
          </cell>
          <cell r="D2946" t="str">
            <v>Hays_Sawyer_25</v>
          </cell>
        </row>
        <row r="2947">
          <cell r="B2947">
            <v>45715</v>
          </cell>
          <cell r="C2947">
            <v>214.4</v>
          </cell>
          <cell r="D2947" t="str">
            <v>Henderson_Damian_25</v>
          </cell>
        </row>
        <row r="2948">
          <cell r="B2948">
            <v>45715</v>
          </cell>
          <cell r="C2948">
            <v>190</v>
          </cell>
          <cell r="D2948" t="str">
            <v>Higgins_Kaleb_25</v>
          </cell>
        </row>
        <row r="2949">
          <cell r="B2949">
            <v>45715</v>
          </cell>
          <cell r="C2949">
            <v>229</v>
          </cell>
          <cell r="D2949" t="str">
            <v>Houston_Derek_25</v>
          </cell>
        </row>
        <row r="2950">
          <cell r="B2950">
            <v>45715</v>
          </cell>
          <cell r="C2950">
            <v>211</v>
          </cell>
          <cell r="D2950" t="str">
            <v>Huddle_Elijah_25</v>
          </cell>
        </row>
        <row r="2951">
          <cell r="B2951">
            <v>45715</v>
          </cell>
          <cell r="C2951">
            <v>185</v>
          </cell>
          <cell r="D2951" t="str">
            <v>Johnson-Burrell_Lamont_25</v>
          </cell>
        </row>
        <row r="2952">
          <cell r="B2952">
            <v>45715</v>
          </cell>
          <cell r="C2952">
            <v>216</v>
          </cell>
          <cell r="D2952" t="str">
            <v>Johnston_Adam_25</v>
          </cell>
        </row>
        <row r="2953">
          <cell r="B2953">
            <v>45715</v>
          </cell>
          <cell r="C2953">
            <v>305.39999999999998</v>
          </cell>
          <cell r="D2953" t="str">
            <v>Kovacs_Giovanni_25</v>
          </cell>
        </row>
        <row r="2954">
          <cell r="B2954">
            <v>45715</v>
          </cell>
          <cell r="C2954">
            <v>160</v>
          </cell>
          <cell r="D2954" t="str">
            <v>Lee_Ricky_25</v>
          </cell>
        </row>
        <row r="2955">
          <cell r="B2955">
            <v>45715</v>
          </cell>
          <cell r="C2955">
            <v>335</v>
          </cell>
          <cell r="D2955" t="str">
            <v>May_Davis_25</v>
          </cell>
        </row>
        <row r="2956">
          <cell r="B2956">
            <v>45715</v>
          </cell>
          <cell r="C2956">
            <v>181</v>
          </cell>
          <cell r="D2956" t="str">
            <v>McDaniel_Damien_25</v>
          </cell>
        </row>
        <row r="2957">
          <cell r="B2957">
            <v>45715</v>
          </cell>
          <cell r="C2957">
            <v>186.2</v>
          </cell>
          <cell r="D2957" t="str">
            <v>McDowell_Connor_25</v>
          </cell>
        </row>
        <row r="2958">
          <cell r="B2958">
            <v>45715</v>
          </cell>
          <cell r="C2958">
            <v>281.39999999999998</v>
          </cell>
          <cell r="D2958" t="str">
            <v>McGlothen_Jayland_25</v>
          </cell>
        </row>
        <row r="2959">
          <cell r="B2959">
            <v>45715</v>
          </cell>
          <cell r="C2959">
            <v>193.4</v>
          </cell>
          <cell r="D2959" t="str">
            <v>McGough_Cal_25</v>
          </cell>
        </row>
        <row r="2960">
          <cell r="B2960">
            <v>45715</v>
          </cell>
          <cell r="C2960">
            <v>298.2</v>
          </cell>
          <cell r="D2960" t="str">
            <v>McKay_Richard_25</v>
          </cell>
        </row>
        <row r="2961">
          <cell r="B2961">
            <v>45715</v>
          </cell>
          <cell r="C2961">
            <v>195</v>
          </cell>
          <cell r="D2961" t="str">
            <v>McKenzie_Anta'Veon_25</v>
          </cell>
        </row>
        <row r="2962">
          <cell r="B2962">
            <v>45715</v>
          </cell>
          <cell r="C2962">
            <v>181.6</v>
          </cell>
          <cell r="D2962" t="str">
            <v>Meadors_Grant_25</v>
          </cell>
        </row>
        <row r="2963">
          <cell r="B2963">
            <v>45715</v>
          </cell>
          <cell r="C2963">
            <v>304</v>
          </cell>
          <cell r="D2963" t="str">
            <v>Meek_Aidan_25</v>
          </cell>
        </row>
        <row r="2964">
          <cell r="B2964">
            <v>45715</v>
          </cell>
          <cell r="C2964">
            <v>189.2</v>
          </cell>
          <cell r="D2964" t="str">
            <v>Melanson_Mike_25</v>
          </cell>
        </row>
        <row r="2965">
          <cell r="B2965">
            <v>45715</v>
          </cell>
          <cell r="C2965">
            <v>171.4</v>
          </cell>
          <cell r="D2965" t="str">
            <v>Mullican_Elias_25</v>
          </cell>
        </row>
        <row r="2966">
          <cell r="B2966">
            <v>45715</v>
          </cell>
          <cell r="C2966">
            <v>191.8</v>
          </cell>
          <cell r="D2966" t="str">
            <v>NA</v>
          </cell>
        </row>
        <row r="2967">
          <cell r="B2967">
            <v>45715</v>
          </cell>
          <cell r="C2967">
            <v>240.6</v>
          </cell>
          <cell r="D2967" t="str">
            <v>Nelson_Gavin_25</v>
          </cell>
        </row>
        <row r="2968">
          <cell r="B2968">
            <v>45715</v>
          </cell>
          <cell r="C2968">
            <v>274.39999999999998</v>
          </cell>
          <cell r="D2968" t="str">
            <v>Norris_Sammy_25</v>
          </cell>
        </row>
        <row r="2969">
          <cell r="B2969">
            <v>45715</v>
          </cell>
          <cell r="C2969">
            <v>171</v>
          </cell>
          <cell r="D2969" t="str">
            <v>Oliver_Jason_25</v>
          </cell>
        </row>
        <row r="2970">
          <cell r="B2970">
            <v>45715</v>
          </cell>
          <cell r="C2970">
            <v>307.8</v>
          </cell>
          <cell r="D2970" t="str">
            <v>Ortiz_Elijah_25</v>
          </cell>
        </row>
        <row r="2971">
          <cell r="B2971">
            <v>45715</v>
          </cell>
          <cell r="C2971">
            <v>228</v>
          </cell>
          <cell r="D2971" t="str">
            <v>Puloka_Fata_25</v>
          </cell>
        </row>
        <row r="2972">
          <cell r="B2972">
            <v>45715</v>
          </cell>
          <cell r="C2972">
            <v>330</v>
          </cell>
          <cell r="D2972" t="str">
            <v>Riley_Kenndel_25</v>
          </cell>
        </row>
        <row r="2973">
          <cell r="B2973">
            <v>45715</v>
          </cell>
          <cell r="C2973">
            <v>216.6</v>
          </cell>
          <cell r="D2973" t="str">
            <v>Rocha_Alex_25</v>
          </cell>
        </row>
        <row r="2974">
          <cell r="B2974">
            <v>45715</v>
          </cell>
          <cell r="C2974">
            <v>250</v>
          </cell>
          <cell r="D2974" t="str">
            <v>Scott_Brennon_25</v>
          </cell>
        </row>
        <row r="2975">
          <cell r="B2975">
            <v>45715</v>
          </cell>
          <cell r="C2975">
            <v>272.39999999999998</v>
          </cell>
          <cell r="D2975" t="str">
            <v>Slater_Luke_25</v>
          </cell>
        </row>
        <row r="2976">
          <cell r="B2976">
            <v>45715</v>
          </cell>
          <cell r="C2976">
            <v>184.4</v>
          </cell>
          <cell r="D2976" t="str">
            <v>Smith_Onterrio_25</v>
          </cell>
        </row>
        <row r="2977">
          <cell r="B2977">
            <v>45715</v>
          </cell>
          <cell r="C2977">
            <v>189</v>
          </cell>
          <cell r="D2977" t="str">
            <v>Solis_Jojo_25</v>
          </cell>
        </row>
        <row r="2978">
          <cell r="B2978">
            <v>45715</v>
          </cell>
          <cell r="C2978">
            <v>309.39999999999998</v>
          </cell>
          <cell r="D2978" t="str">
            <v>Soto_Jose_25</v>
          </cell>
        </row>
        <row r="2979">
          <cell r="B2979">
            <v>45715</v>
          </cell>
          <cell r="C2979">
            <v>303.60000000000002</v>
          </cell>
          <cell r="D2979" t="str">
            <v>Sousa_Brandon_25</v>
          </cell>
        </row>
        <row r="2980">
          <cell r="B2980">
            <v>45715</v>
          </cell>
          <cell r="C2980">
            <v>286.8</v>
          </cell>
          <cell r="D2980" t="str">
            <v>Speno_Joseph_25</v>
          </cell>
        </row>
        <row r="2981">
          <cell r="B2981">
            <v>45715</v>
          </cell>
          <cell r="C2981">
            <v>308.8</v>
          </cell>
          <cell r="D2981" t="str">
            <v>Summers_Bryson_25</v>
          </cell>
        </row>
        <row r="2982">
          <cell r="B2982">
            <v>45715</v>
          </cell>
          <cell r="C2982">
            <v>278</v>
          </cell>
          <cell r="D2982" t="str">
            <v>Tagaloa_Brodie_25</v>
          </cell>
        </row>
        <row r="2983">
          <cell r="B2983">
            <v>45715</v>
          </cell>
          <cell r="C2983">
            <v>229.4</v>
          </cell>
          <cell r="D2983" t="str">
            <v>Tanner_Logan_25</v>
          </cell>
        </row>
        <row r="2984">
          <cell r="B2984">
            <v>45715</v>
          </cell>
          <cell r="C2984">
            <v>161.19999999999999</v>
          </cell>
          <cell r="D2984" t="str">
            <v>Taylor_Adam_25</v>
          </cell>
        </row>
        <row r="2985">
          <cell r="B2985">
            <v>45715</v>
          </cell>
          <cell r="C2985">
            <v>240</v>
          </cell>
          <cell r="D2985" t="str">
            <v>Vi_Pita_25</v>
          </cell>
        </row>
        <row r="2986">
          <cell r="B2986">
            <v>45715</v>
          </cell>
          <cell r="C2986">
            <v>181.4</v>
          </cell>
          <cell r="D2986" t="str">
            <v>Williams_Cardell_25</v>
          </cell>
        </row>
        <row r="2987">
          <cell r="B2987">
            <v>45715</v>
          </cell>
          <cell r="C2987">
            <v>184</v>
          </cell>
          <cell r="D2987" t="str">
            <v>Williams_Jalen_25</v>
          </cell>
        </row>
        <row r="2988">
          <cell r="B2988">
            <v>45715</v>
          </cell>
          <cell r="C2988">
            <v>218</v>
          </cell>
          <cell r="D2988" t="str">
            <v>Williams_Jordan_25</v>
          </cell>
        </row>
        <row r="2989">
          <cell r="B2989">
            <v>45715</v>
          </cell>
          <cell r="C2989">
            <v>260</v>
          </cell>
          <cell r="D2989" t="str">
            <v>Williams_Xavier_25</v>
          </cell>
        </row>
        <row r="2990">
          <cell r="B2990">
            <v>45715</v>
          </cell>
          <cell r="C2990">
            <v>219.8</v>
          </cell>
          <cell r="D2990" t="str">
            <v>Wilson_Jace_25</v>
          </cell>
        </row>
        <row r="2991">
          <cell r="B2991">
            <v>45713</v>
          </cell>
          <cell r="C2991">
            <v>290.2</v>
          </cell>
          <cell r="D2991" t="str">
            <v>Abdullah_Dean_25</v>
          </cell>
        </row>
        <row r="2992">
          <cell r="B2992">
            <v>45713</v>
          </cell>
          <cell r="C2992">
            <v>191.4</v>
          </cell>
          <cell r="D2992" t="str">
            <v>Akui_Koa_25</v>
          </cell>
        </row>
        <row r="2993">
          <cell r="B2993">
            <v>45713</v>
          </cell>
          <cell r="C2993">
            <v>262.60000000000002</v>
          </cell>
          <cell r="D2993" t="str">
            <v>Ambuehl_Davis_25</v>
          </cell>
        </row>
        <row r="2994">
          <cell r="B2994">
            <v>45713</v>
          </cell>
          <cell r="C2994">
            <v>206.2</v>
          </cell>
          <cell r="D2994" t="str">
            <v>Anderson_Hayden_25</v>
          </cell>
        </row>
        <row r="2995">
          <cell r="B2995">
            <v>45713</v>
          </cell>
          <cell r="C2995">
            <v>170.8</v>
          </cell>
          <cell r="D2995" t="str">
            <v>Anderson_Jordan_25</v>
          </cell>
        </row>
        <row r="2996">
          <cell r="B2996">
            <v>45713</v>
          </cell>
          <cell r="C2996">
            <v>286.39999999999998</v>
          </cell>
          <cell r="D2996" t="str">
            <v>Bailey_Miles_25</v>
          </cell>
        </row>
        <row r="2997">
          <cell r="B2997">
            <v>45713</v>
          </cell>
          <cell r="C2997">
            <v>220</v>
          </cell>
          <cell r="D2997" t="str">
            <v>Boeddeker_Hunter_25</v>
          </cell>
        </row>
        <row r="2998">
          <cell r="B2998">
            <v>45713</v>
          </cell>
          <cell r="C2998">
            <v>187</v>
          </cell>
          <cell r="D2998" t="str">
            <v>Borders_Curron_25</v>
          </cell>
        </row>
        <row r="2999">
          <cell r="B2999">
            <v>45713</v>
          </cell>
          <cell r="C2999">
            <v>157.19999999999999</v>
          </cell>
          <cell r="D2999" t="str">
            <v>Bryant_Ajon_25</v>
          </cell>
        </row>
        <row r="3000">
          <cell r="B3000">
            <v>45713</v>
          </cell>
          <cell r="C3000">
            <v>236</v>
          </cell>
          <cell r="D3000" t="str">
            <v>Cashiola_Josh_25</v>
          </cell>
        </row>
        <row r="3001">
          <cell r="B3001">
            <v>45713</v>
          </cell>
          <cell r="C3001">
            <v>156.6</v>
          </cell>
          <cell r="D3001" t="str">
            <v>Conerly_Tim_25</v>
          </cell>
        </row>
        <row r="3002">
          <cell r="B3002">
            <v>45713</v>
          </cell>
          <cell r="C3002">
            <v>174</v>
          </cell>
          <cell r="D3002" t="str">
            <v>Curtis_Jamar_25</v>
          </cell>
        </row>
        <row r="3003">
          <cell r="B3003">
            <v>45713</v>
          </cell>
          <cell r="C3003">
            <v>230</v>
          </cell>
          <cell r="D3003" t="str">
            <v>Davis_Diego_25</v>
          </cell>
        </row>
        <row r="3004">
          <cell r="B3004">
            <v>45713</v>
          </cell>
          <cell r="C3004">
            <v>201.4</v>
          </cell>
          <cell r="D3004" t="str">
            <v>Emerson_Yebrell_25</v>
          </cell>
        </row>
        <row r="3005">
          <cell r="B3005">
            <v>45713</v>
          </cell>
          <cell r="C3005">
            <v>222</v>
          </cell>
          <cell r="D3005" t="str">
            <v>Eskridge_Matthew_25</v>
          </cell>
        </row>
        <row r="3006">
          <cell r="B3006">
            <v>45713</v>
          </cell>
          <cell r="C3006">
            <v>184.8</v>
          </cell>
          <cell r="D3006" t="str">
            <v>Firebaugh_Joseph_25</v>
          </cell>
        </row>
        <row r="3007">
          <cell r="B3007">
            <v>45713</v>
          </cell>
          <cell r="C3007">
            <v>174.2</v>
          </cell>
          <cell r="D3007" t="str">
            <v>Fresques_Jaxon_25</v>
          </cell>
        </row>
        <row r="3008">
          <cell r="B3008">
            <v>45713</v>
          </cell>
          <cell r="C3008">
            <v>295.2</v>
          </cell>
          <cell r="D3008" t="str">
            <v>Gretlein_Cade_25</v>
          </cell>
        </row>
        <row r="3009">
          <cell r="B3009">
            <v>45713</v>
          </cell>
          <cell r="C3009">
            <v>198</v>
          </cell>
          <cell r="D3009" t="str">
            <v>Hammond_Rodney_25</v>
          </cell>
        </row>
        <row r="3010">
          <cell r="B3010">
            <v>45713</v>
          </cell>
          <cell r="C3010">
            <v>293.2</v>
          </cell>
          <cell r="D3010" t="str">
            <v>Hays_Sawyer_25</v>
          </cell>
        </row>
        <row r="3011">
          <cell r="B3011">
            <v>45713</v>
          </cell>
          <cell r="C3011">
            <v>210.8</v>
          </cell>
          <cell r="D3011" t="str">
            <v>Henderson_Damian_25</v>
          </cell>
        </row>
        <row r="3012">
          <cell r="B3012">
            <v>45713</v>
          </cell>
          <cell r="C3012">
            <v>192</v>
          </cell>
          <cell r="D3012" t="str">
            <v>Higgins_Kaleb_25</v>
          </cell>
        </row>
        <row r="3013">
          <cell r="B3013">
            <v>45713</v>
          </cell>
          <cell r="C3013">
            <v>229.8</v>
          </cell>
          <cell r="D3013" t="str">
            <v>Houston_Derek_25</v>
          </cell>
        </row>
        <row r="3014">
          <cell r="B3014">
            <v>45713</v>
          </cell>
          <cell r="C3014">
            <v>209.6</v>
          </cell>
          <cell r="D3014" t="str">
            <v>Huddle_Elijah_25</v>
          </cell>
        </row>
        <row r="3015">
          <cell r="B3015">
            <v>45713</v>
          </cell>
          <cell r="C3015">
            <v>184</v>
          </cell>
          <cell r="D3015" t="str">
            <v>Johnson-Burrell_Lamont_25</v>
          </cell>
        </row>
        <row r="3016">
          <cell r="B3016">
            <v>45713</v>
          </cell>
          <cell r="C3016">
            <v>214.8</v>
          </cell>
          <cell r="D3016" t="str">
            <v>Johnston_Adam_25</v>
          </cell>
        </row>
        <row r="3017">
          <cell r="B3017">
            <v>45713</v>
          </cell>
          <cell r="C3017">
            <v>303.8</v>
          </cell>
          <cell r="D3017" t="str">
            <v>Kovacs_Giovanni_25</v>
          </cell>
        </row>
        <row r="3018">
          <cell r="B3018">
            <v>45713</v>
          </cell>
          <cell r="C3018">
            <v>163</v>
          </cell>
          <cell r="D3018" t="str">
            <v>Lee_Ricky_25</v>
          </cell>
        </row>
        <row r="3019">
          <cell r="B3019">
            <v>45713</v>
          </cell>
          <cell r="C3019">
            <v>335</v>
          </cell>
          <cell r="D3019" t="str">
            <v>May_Davis_25</v>
          </cell>
        </row>
        <row r="3020">
          <cell r="B3020">
            <v>45713</v>
          </cell>
          <cell r="C3020">
            <v>182</v>
          </cell>
          <cell r="D3020" t="str">
            <v>McDaniel_Damien_25</v>
          </cell>
        </row>
        <row r="3021">
          <cell r="B3021">
            <v>45713</v>
          </cell>
          <cell r="C3021">
            <v>184.2</v>
          </cell>
          <cell r="D3021" t="str">
            <v>McDowell_Connor_25</v>
          </cell>
        </row>
        <row r="3022">
          <cell r="B3022">
            <v>45713</v>
          </cell>
          <cell r="C3022">
            <v>281</v>
          </cell>
          <cell r="D3022" t="str">
            <v>McGlothen_Jayland_25</v>
          </cell>
        </row>
        <row r="3023">
          <cell r="B3023">
            <v>45713</v>
          </cell>
          <cell r="C3023">
            <v>192.4</v>
          </cell>
          <cell r="D3023" t="str">
            <v>McGough_Cal_25</v>
          </cell>
        </row>
        <row r="3024">
          <cell r="B3024">
            <v>45713</v>
          </cell>
          <cell r="C3024">
            <v>295.39999999999998</v>
          </cell>
          <cell r="D3024" t="str">
            <v>McKay_Richard_25</v>
          </cell>
        </row>
        <row r="3025">
          <cell r="B3025">
            <v>45713</v>
          </cell>
          <cell r="C3025">
            <v>194</v>
          </cell>
          <cell r="D3025" t="str">
            <v>McKenzie_Anta'Veon_25</v>
          </cell>
        </row>
        <row r="3026">
          <cell r="B3026">
            <v>45713</v>
          </cell>
          <cell r="C3026">
            <v>181.8</v>
          </cell>
          <cell r="D3026" t="str">
            <v>Meadors_Grant_25</v>
          </cell>
        </row>
        <row r="3027">
          <cell r="B3027">
            <v>45713</v>
          </cell>
          <cell r="C3027">
            <v>300.2</v>
          </cell>
          <cell r="D3027" t="str">
            <v>Meek_Aidan_25</v>
          </cell>
        </row>
        <row r="3028">
          <cell r="B3028">
            <v>45713</v>
          </cell>
          <cell r="C3028">
            <v>191.4</v>
          </cell>
          <cell r="D3028" t="str">
            <v>Melanson_Mike_25</v>
          </cell>
        </row>
        <row r="3029">
          <cell r="B3029">
            <v>45713</v>
          </cell>
          <cell r="C3029">
            <v>171.4</v>
          </cell>
          <cell r="D3029" t="str">
            <v>Mullican_Elias_25</v>
          </cell>
        </row>
        <row r="3030">
          <cell r="B3030">
            <v>45713</v>
          </cell>
          <cell r="C3030">
            <v>192</v>
          </cell>
          <cell r="D3030" t="str">
            <v>NA</v>
          </cell>
        </row>
        <row r="3031">
          <cell r="B3031">
            <v>45713</v>
          </cell>
          <cell r="C3031">
            <v>240</v>
          </cell>
          <cell r="D3031" t="str">
            <v>Nelson_Gavin_25</v>
          </cell>
        </row>
        <row r="3032">
          <cell r="B3032">
            <v>45713</v>
          </cell>
          <cell r="C3032">
            <v>269.60000000000002</v>
          </cell>
          <cell r="D3032" t="str">
            <v>Norris_Sammy_25</v>
          </cell>
        </row>
        <row r="3033">
          <cell r="B3033">
            <v>45713</v>
          </cell>
          <cell r="C3033">
            <v>172.4</v>
          </cell>
          <cell r="D3033" t="str">
            <v>Oliver_Jason_25</v>
          </cell>
        </row>
        <row r="3034">
          <cell r="B3034">
            <v>45713</v>
          </cell>
          <cell r="C3034">
            <v>308.2</v>
          </cell>
          <cell r="D3034" t="str">
            <v>Ortiz_Elijah_25</v>
          </cell>
        </row>
        <row r="3035">
          <cell r="B3035">
            <v>45713</v>
          </cell>
          <cell r="C3035">
            <v>228</v>
          </cell>
          <cell r="D3035" t="str">
            <v>Puloka_Fata_25</v>
          </cell>
        </row>
        <row r="3036">
          <cell r="B3036">
            <v>45713</v>
          </cell>
          <cell r="C3036">
            <v>329</v>
          </cell>
          <cell r="D3036" t="str">
            <v>Riley_Kenndel_25</v>
          </cell>
        </row>
        <row r="3037">
          <cell r="B3037">
            <v>45713</v>
          </cell>
          <cell r="C3037">
            <v>216.4</v>
          </cell>
          <cell r="D3037" t="str">
            <v>Rocha_Alex_25</v>
          </cell>
        </row>
        <row r="3038">
          <cell r="B3038">
            <v>45713</v>
          </cell>
          <cell r="C3038">
            <v>250</v>
          </cell>
          <cell r="D3038" t="str">
            <v>Scott_Brennon_25</v>
          </cell>
        </row>
        <row r="3039">
          <cell r="B3039">
            <v>45713</v>
          </cell>
          <cell r="C3039">
            <v>269.60000000000002</v>
          </cell>
          <cell r="D3039" t="str">
            <v>Slater_Luke_25</v>
          </cell>
        </row>
        <row r="3040">
          <cell r="B3040">
            <v>45713</v>
          </cell>
          <cell r="C3040">
            <v>184.2</v>
          </cell>
          <cell r="D3040" t="str">
            <v>Smith_Onterrio_25</v>
          </cell>
        </row>
        <row r="3041">
          <cell r="B3041">
            <v>45713</v>
          </cell>
          <cell r="C3041">
            <v>189</v>
          </cell>
          <cell r="D3041" t="str">
            <v>Solis_Jojo_25</v>
          </cell>
        </row>
        <row r="3042">
          <cell r="B3042">
            <v>45713</v>
          </cell>
          <cell r="C3042">
            <v>309.2</v>
          </cell>
          <cell r="D3042" t="str">
            <v>Soto_Jose_25</v>
          </cell>
        </row>
        <row r="3043">
          <cell r="B3043">
            <v>45713</v>
          </cell>
          <cell r="C3043">
            <v>304.2</v>
          </cell>
          <cell r="D3043" t="str">
            <v>Sousa_Brandon_25</v>
          </cell>
        </row>
        <row r="3044">
          <cell r="B3044">
            <v>45713</v>
          </cell>
          <cell r="C3044">
            <v>285.39999999999998</v>
          </cell>
          <cell r="D3044" t="str">
            <v>Speno_Joseph_25</v>
          </cell>
        </row>
        <row r="3045">
          <cell r="B3045">
            <v>45713</v>
          </cell>
          <cell r="C3045">
            <v>306.60000000000002</v>
          </cell>
          <cell r="D3045" t="str">
            <v>Summers_Bryson_25</v>
          </cell>
        </row>
        <row r="3046">
          <cell r="B3046">
            <v>45713</v>
          </cell>
          <cell r="C3046">
            <v>280</v>
          </cell>
          <cell r="D3046" t="str">
            <v>Tagaloa_Brodie_25</v>
          </cell>
        </row>
        <row r="3047">
          <cell r="B3047">
            <v>45713</v>
          </cell>
          <cell r="C3047">
            <v>232.6</v>
          </cell>
          <cell r="D3047" t="str">
            <v>Tanner_Logan_25</v>
          </cell>
        </row>
        <row r="3048">
          <cell r="B3048">
            <v>45713</v>
          </cell>
          <cell r="C3048">
            <v>239</v>
          </cell>
          <cell r="D3048" t="str">
            <v>Vi_Pita_25</v>
          </cell>
        </row>
        <row r="3049">
          <cell r="B3049">
            <v>45713</v>
          </cell>
          <cell r="C3049">
            <v>179.6</v>
          </cell>
          <cell r="D3049" t="str">
            <v>Williams_Cardell_25</v>
          </cell>
        </row>
        <row r="3050">
          <cell r="B3050">
            <v>45713</v>
          </cell>
          <cell r="C3050">
            <v>185</v>
          </cell>
          <cell r="D3050" t="str">
            <v>Williams_Jalen_25</v>
          </cell>
        </row>
        <row r="3051">
          <cell r="B3051">
            <v>45713</v>
          </cell>
          <cell r="C3051">
            <v>220.8</v>
          </cell>
          <cell r="D3051" t="str">
            <v>Williams_Jordan_25</v>
          </cell>
        </row>
        <row r="3052">
          <cell r="B3052">
            <v>45713</v>
          </cell>
          <cell r="C3052">
            <v>261</v>
          </cell>
          <cell r="D3052" t="str">
            <v>Williams_Xavier_25</v>
          </cell>
        </row>
        <row r="3053">
          <cell r="B3053">
            <v>45713</v>
          </cell>
          <cell r="C3053">
            <v>217</v>
          </cell>
          <cell r="D3053" t="str">
            <v>Wilson_Jace_25</v>
          </cell>
        </row>
        <row r="3054">
          <cell r="B3054">
            <v>45708</v>
          </cell>
          <cell r="C3054">
            <v>298.60000000000002</v>
          </cell>
          <cell r="D3054" t="str">
            <v>Abdullah_Dean_25</v>
          </cell>
        </row>
        <row r="3055">
          <cell r="B3055">
            <v>45708</v>
          </cell>
          <cell r="C3055">
            <v>190</v>
          </cell>
          <cell r="D3055" t="str">
            <v>Akui_Koa_25</v>
          </cell>
        </row>
        <row r="3056">
          <cell r="B3056">
            <v>45708</v>
          </cell>
          <cell r="C3056">
            <v>265.8</v>
          </cell>
          <cell r="D3056" t="str">
            <v>Ambuehl_Davis_25</v>
          </cell>
        </row>
        <row r="3057">
          <cell r="B3057">
            <v>45708</v>
          </cell>
          <cell r="C3057">
            <v>210.4</v>
          </cell>
          <cell r="D3057" t="str">
            <v>Anderson_Hayden_25</v>
          </cell>
        </row>
        <row r="3058">
          <cell r="B3058">
            <v>45708</v>
          </cell>
          <cell r="C3058">
            <v>170</v>
          </cell>
          <cell r="D3058" t="str">
            <v>Anderson_Jordan_25</v>
          </cell>
        </row>
        <row r="3059">
          <cell r="B3059">
            <v>45708</v>
          </cell>
          <cell r="C3059">
            <v>287</v>
          </cell>
          <cell r="D3059" t="str">
            <v>Bailey_Miles_25</v>
          </cell>
        </row>
        <row r="3060">
          <cell r="B3060">
            <v>45708</v>
          </cell>
          <cell r="C3060">
            <v>218</v>
          </cell>
          <cell r="D3060" t="str">
            <v>Boeddeker_Hunter_25</v>
          </cell>
        </row>
        <row r="3061">
          <cell r="B3061">
            <v>45708</v>
          </cell>
          <cell r="C3061">
            <v>187.4</v>
          </cell>
          <cell r="D3061" t="str">
            <v>Borders_Curron_25</v>
          </cell>
        </row>
        <row r="3062">
          <cell r="B3062">
            <v>45708</v>
          </cell>
          <cell r="C3062">
            <v>159.80000000000001</v>
          </cell>
          <cell r="D3062" t="str">
            <v>Bryant_Ajon_25</v>
          </cell>
        </row>
        <row r="3063">
          <cell r="B3063">
            <v>45708</v>
          </cell>
          <cell r="C3063">
            <v>234</v>
          </cell>
          <cell r="D3063" t="str">
            <v>Cashiola_Josh_25</v>
          </cell>
        </row>
        <row r="3064">
          <cell r="B3064">
            <v>45708</v>
          </cell>
          <cell r="C3064">
            <v>154</v>
          </cell>
          <cell r="D3064" t="str">
            <v>Conerly_Tim_25</v>
          </cell>
        </row>
        <row r="3065">
          <cell r="B3065">
            <v>45708</v>
          </cell>
          <cell r="C3065">
            <v>175.6</v>
          </cell>
          <cell r="D3065" t="str">
            <v>Curtis_Jamar_25</v>
          </cell>
        </row>
        <row r="3066">
          <cell r="B3066">
            <v>45708</v>
          </cell>
          <cell r="C3066">
            <v>232.4</v>
          </cell>
          <cell r="D3066" t="str">
            <v>Davis_Diego_25</v>
          </cell>
        </row>
        <row r="3067">
          <cell r="B3067">
            <v>45708</v>
          </cell>
          <cell r="C3067">
            <v>201.4</v>
          </cell>
          <cell r="D3067" t="str">
            <v>Emerson_Yebrell_25</v>
          </cell>
        </row>
        <row r="3068">
          <cell r="B3068">
            <v>45708</v>
          </cell>
          <cell r="C3068">
            <v>221.8</v>
          </cell>
          <cell r="D3068" t="str">
            <v>Eskridge_Matthew_25</v>
          </cell>
        </row>
        <row r="3069">
          <cell r="B3069">
            <v>45708</v>
          </cell>
          <cell r="C3069">
            <v>183.8</v>
          </cell>
          <cell r="D3069" t="str">
            <v>Firebaugh_Joseph_25</v>
          </cell>
        </row>
        <row r="3070">
          <cell r="B3070">
            <v>45708</v>
          </cell>
          <cell r="C3070">
            <v>174.2</v>
          </cell>
          <cell r="D3070" t="str">
            <v>Fresques_Jaxon_25</v>
          </cell>
        </row>
        <row r="3071">
          <cell r="B3071">
            <v>45708</v>
          </cell>
          <cell r="C3071">
            <v>293.60000000000002</v>
          </cell>
          <cell r="D3071" t="str">
            <v>Gretlein_Cade_25</v>
          </cell>
        </row>
        <row r="3072">
          <cell r="B3072">
            <v>45708</v>
          </cell>
          <cell r="C3072">
            <v>194.4</v>
          </cell>
          <cell r="D3072" t="str">
            <v>Hammond_Rodney_25</v>
          </cell>
        </row>
        <row r="3073">
          <cell r="B3073">
            <v>45708</v>
          </cell>
          <cell r="C3073">
            <v>294.8</v>
          </cell>
          <cell r="D3073" t="str">
            <v>Hays_Sawyer_25</v>
          </cell>
        </row>
        <row r="3074">
          <cell r="B3074">
            <v>45708</v>
          </cell>
          <cell r="C3074">
            <v>212.8</v>
          </cell>
          <cell r="D3074" t="str">
            <v>Henderson_Damian_25</v>
          </cell>
        </row>
        <row r="3075">
          <cell r="B3075">
            <v>45708</v>
          </cell>
          <cell r="C3075">
            <v>190.6</v>
          </cell>
          <cell r="D3075" t="str">
            <v>Higgins_Kaleb_25</v>
          </cell>
        </row>
        <row r="3076">
          <cell r="B3076">
            <v>45708</v>
          </cell>
          <cell r="C3076">
            <v>229.6</v>
          </cell>
          <cell r="D3076" t="str">
            <v>Houston_Derek_25</v>
          </cell>
        </row>
        <row r="3077">
          <cell r="B3077">
            <v>45708</v>
          </cell>
          <cell r="C3077">
            <v>209.4</v>
          </cell>
          <cell r="D3077" t="str">
            <v>Huddle_Elijah_25</v>
          </cell>
        </row>
        <row r="3078">
          <cell r="B3078">
            <v>45708</v>
          </cell>
          <cell r="C3078">
            <v>184.8</v>
          </cell>
          <cell r="D3078" t="str">
            <v>Johnson-Burrell_Lamont_25</v>
          </cell>
        </row>
        <row r="3079">
          <cell r="B3079">
            <v>45708</v>
          </cell>
          <cell r="C3079">
            <v>215</v>
          </cell>
          <cell r="D3079" t="str">
            <v>Johnston_Adam_25</v>
          </cell>
        </row>
        <row r="3080">
          <cell r="B3080">
            <v>45708</v>
          </cell>
          <cell r="C3080">
            <v>303.60000000000002</v>
          </cell>
          <cell r="D3080" t="str">
            <v>Kovacs_Giovanni_25</v>
          </cell>
        </row>
        <row r="3081">
          <cell r="B3081">
            <v>45708</v>
          </cell>
          <cell r="C3081">
            <v>161.6</v>
          </cell>
          <cell r="D3081" t="str">
            <v>Lee_Ricky_25</v>
          </cell>
        </row>
        <row r="3082">
          <cell r="B3082">
            <v>45708</v>
          </cell>
          <cell r="C3082">
            <v>335.2</v>
          </cell>
          <cell r="D3082" t="str">
            <v>May_Davis_25</v>
          </cell>
        </row>
        <row r="3083">
          <cell r="B3083">
            <v>45708</v>
          </cell>
          <cell r="C3083">
            <v>182.6</v>
          </cell>
          <cell r="D3083" t="str">
            <v>McDaniel_Damien_25</v>
          </cell>
        </row>
        <row r="3084">
          <cell r="B3084">
            <v>45708</v>
          </cell>
          <cell r="C3084">
            <v>183</v>
          </cell>
          <cell r="D3084" t="str">
            <v>McDowell_Connor_25</v>
          </cell>
        </row>
        <row r="3085">
          <cell r="B3085">
            <v>45708</v>
          </cell>
          <cell r="C3085">
            <v>280.8</v>
          </cell>
          <cell r="D3085" t="str">
            <v>McGlothen_Jayland_25</v>
          </cell>
        </row>
        <row r="3086">
          <cell r="B3086">
            <v>45708</v>
          </cell>
          <cell r="C3086">
            <v>191.4</v>
          </cell>
          <cell r="D3086" t="str">
            <v>McGough_Cal_25</v>
          </cell>
        </row>
        <row r="3087">
          <cell r="B3087">
            <v>45708</v>
          </cell>
          <cell r="C3087">
            <v>292.39999999999998</v>
          </cell>
          <cell r="D3087" t="str">
            <v>McKay_Richard_25</v>
          </cell>
        </row>
        <row r="3088">
          <cell r="B3088">
            <v>45708</v>
          </cell>
          <cell r="C3088">
            <v>195.4</v>
          </cell>
          <cell r="D3088" t="str">
            <v>McKenzie_Anta'Veon_25</v>
          </cell>
        </row>
        <row r="3089">
          <cell r="B3089">
            <v>45708</v>
          </cell>
          <cell r="C3089">
            <v>181.4</v>
          </cell>
          <cell r="D3089" t="str">
            <v>Meadors_Grant_25</v>
          </cell>
        </row>
        <row r="3090">
          <cell r="B3090">
            <v>45708</v>
          </cell>
          <cell r="C3090">
            <v>300.39999999999998</v>
          </cell>
          <cell r="D3090" t="str">
            <v>Meek_Aidan_25</v>
          </cell>
        </row>
        <row r="3091">
          <cell r="B3091">
            <v>45708</v>
          </cell>
          <cell r="C3091">
            <v>188</v>
          </cell>
          <cell r="D3091" t="str">
            <v>Melanson_Mike_25</v>
          </cell>
        </row>
        <row r="3092">
          <cell r="B3092">
            <v>45708</v>
          </cell>
          <cell r="C3092">
            <v>174.2</v>
          </cell>
          <cell r="D3092" t="str">
            <v>Mullican_Elias_25</v>
          </cell>
        </row>
        <row r="3093">
          <cell r="B3093">
            <v>45708</v>
          </cell>
          <cell r="C3093">
            <v>188.6</v>
          </cell>
          <cell r="D3093" t="str">
            <v>NA</v>
          </cell>
        </row>
        <row r="3094">
          <cell r="B3094">
            <v>45708</v>
          </cell>
          <cell r="C3094">
            <v>240.2</v>
          </cell>
          <cell r="D3094" t="str">
            <v>Nelson_Gavin_25</v>
          </cell>
        </row>
        <row r="3095">
          <cell r="B3095">
            <v>45708</v>
          </cell>
          <cell r="C3095">
            <v>276.39999999999998</v>
          </cell>
          <cell r="D3095" t="str">
            <v>Norris_Sammy_25</v>
          </cell>
        </row>
        <row r="3096">
          <cell r="B3096">
            <v>45708</v>
          </cell>
          <cell r="C3096">
            <v>171.8</v>
          </cell>
          <cell r="D3096" t="str">
            <v>Oliver_Jason_25</v>
          </cell>
        </row>
        <row r="3097">
          <cell r="B3097">
            <v>45708</v>
          </cell>
          <cell r="C3097">
            <v>305</v>
          </cell>
          <cell r="D3097" t="str">
            <v>Ortiz_Elijah_25</v>
          </cell>
        </row>
        <row r="3098">
          <cell r="B3098">
            <v>45708</v>
          </cell>
          <cell r="C3098">
            <v>226</v>
          </cell>
          <cell r="D3098" t="str">
            <v>Puloka_Fata_25</v>
          </cell>
        </row>
        <row r="3099">
          <cell r="B3099">
            <v>45708</v>
          </cell>
          <cell r="C3099">
            <v>329.8</v>
          </cell>
          <cell r="D3099" t="str">
            <v>Riley_Kenndel_25</v>
          </cell>
        </row>
        <row r="3100">
          <cell r="B3100">
            <v>45708</v>
          </cell>
          <cell r="C3100">
            <v>215.8</v>
          </cell>
          <cell r="D3100" t="str">
            <v>Rocha_Alex_25</v>
          </cell>
        </row>
        <row r="3101">
          <cell r="B3101">
            <v>45708</v>
          </cell>
          <cell r="C3101">
            <v>250.6</v>
          </cell>
          <cell r="D3101" t="str">
            <v>Scott_Brennon_25</v>
          </cell>
        </row>
        <row r="3102">
          <cell r="B3102">
            <v>45708</v>
          </cell>
          <cell r="C3102">
            <v>271.39999999999998</v>
          </cell>
          <cell r="D3102" t="str">
            <v>Slater_Luke_25</v>
          </cell>
        </row>
        <row r="3103">
          <cell r="B3103">
            <v>45708</v>
          </cell>
          <cell r="C3103">
            <v>185</v>
          </cell>
          <cell r="D3103" t="str">
            <v>Smith_Onterrio_25</v>
          </cell>
        </row>
        <row r="3104">
          <cell r="B3104">
            <v>45708</v>
          </cell>
          <cell r="C3104">
            <v>188.8</v>
          </cell>
          <cell r="D3104" t="str">
            <v>Solis_Jojo_25</v>
          </cell>
        </row>
        <row r="3105">
          <cell r="B3105">
            <v>45708</v>
          </cell>
          <cell r="C3105">
            <v>310</v>
          </cell>
          <cell r="D3105" t="str">
            <v>Soto_Jose_25</v>
          </cell>
        </row>
        <row r="3106">
          <cell r="B3106">
            <v>45708</v>
          </cell>
          <cell r="C3106">
            <v>304.39999999999998</v>
          </cell>
          <cell r="D3106" t="str">
            <v>Sousa_Brandon_25</v>
          </cell>
        </row>
        <row r="3107">
          <cell r="B3107">
            <v>45708</v>
          </cell>
          <cell r="C3107">
            <v>287.39999999999998</v>
          </cell>
          <cell r="D3107" t="str">
            <v>Speno_Joseph_25</v>
          </cell>
        </row>
        <row r="3108">
          <cell r="B3108">
            <v>45708</v>
          </cell>
          <cell r="C3108">
            <v>306.60000000000002</v>
          </cell>
          <cell r="D3108" t="str">
            <v>Summers_Bryson_25</v>
          </cell>
        </row>
        <row r="3109">
          <cell r="B3109">
            <v>45708</v>
          </cell>
          <cell r="C3109">
            <v>278</v>
          </cell>
          <cell r="D3109" t="str">
            <v>Tagaloa_Brodie_25</v>
          </cell>
        </row>
        <row r="3110">
          <cell r="B3110">
            <v>45708</v>
          </cell>
          <cell r="C3110">
            <v>229</v>
          </cell>
          <cell r="D3110" t="str">
            <v>Tanner_Logan_25</v>
          </cell>
        </row>
        <row r="3111">
          <cell r="B3111">
            <v>45708</v>
          </cell>
          <cell r="C3111">
            <v>163.4</v>
          </cell>
          <cell r="D3111" t="str">
            <v>Taylor_Adam_25</v>
          </cell>
        </row>
        <row r="3112">
          <cell r="B3112">
            <v>45708</v>
          </cell>
          <cell r="C3112">
            <v>234.6</v>
          </cell>
          <cell r="D3112" t="str">
            <v>Vi_Pita_25</v>
          </cell>
        </row>
        <row r="3113">
          <cell r="B3113">
            <v>45708</v>
          </cell>
          <cell r="C3113">
            <v>178</v>
          </cell>
          <cell r="D3113" t="str">
            <v>Williams_Cardell_25</v>
          </cell>
        </row>
        <row r="3114">
          <cell r="B3114">
            <v>45708</v>
          </cell>
          <cell r="C3114">
            <v>184.6</v>
          </cell>
          <cell r="D3114" t="str">
            <v>Williams_Jalen_25</v>
          </cell>
        </row>
        <row r="3115">
          <cell r="B3115">
            <v>45708</v>
          </cell>
          <cell r="C3115">
            <v>220.4</v>
          </cell>
          <cell r="D3115" t="str">
            <v>Williams_Jordan_25</v>
          </cell>
        </row>
        <row r="3116">
          <cell r="B3116">
            <v>45708</v>
          </cell>
          <cell r="C3116">
            <v>260</v>
          </cell>
          <cell r="D3116" t="str">
            <v>Williams_Xavier_25</v>
          </cell>
        </row>
        <row r="3117">
          <cell r="B3117">
            <v>45708</v>
          </cell>
          <cell r="C3117">
            <v>217.8</v>
          </cell>
          <cell r="D3117" t="str">
            <v>Wilson_Jace_25</v>
          </cell>
        </row>
        <row r="3118">
          <cell r="B3118">
            <v>45706</v>
          </cell>
          <cell r="C3118">
            <v>298</v>
          </cell>
          <cell r="D3118" t="str">
            <v>Abdullah_Dean_25</v>
          </cell>
        </row>
        <row r="3119">
          <cell r="B3119">
            <v>45706</v>
          </cell>
          <cell r="C3119">
            <v>192.4</v>
          </cell>
          <cell r="D3119" t="str">
            <v>Akui_Koa_25</v>
          </cell>
        </row>
        <row r="3120">
          <cell r="B3120">
            <v>45706</v>
          </cell>
          <cell r="C3120">
            <v>263.60000000000002</v>
          </cell>
          <cell r="D3120" t="str">
            <v>Ambuehl_Davis_25</v>
          </cell>
        </row>
        <row r="3121">
          <cell r="B3121">
            <v>45706</v>
          </cell>
          <cell r="C3121">
            <v>172.6</v>
          </cell>
          <cell r="D3121" t="str">
            <v>Anderson_Jordan_25</v>
          </cell>
        </row>
        <row r="3122">
          <cell r="B3122">
            <v>45706</v>
          </cell>
          <cell r="C3122">
            <v>286.60000000000002</v>
          </cell>
          <cell r="D3122" t="str">
            <v>Bailey_Miles_25</v>
          </cell>
        </row>
        <row r="3123">
          <cell r="B3123">
            <v>45706</v>
          </cell>
          <cell r="C3123">
            <v>218.2</v>
          </cell>
          <cell r="D3123" t="str">
            <v>Boeddeker_Hunter_25</v>
          </cell>
        </row>
        <row r="3124">
          <cell r="B3124">
            <v>45706</v>
          </cell>
          <cell r="C3124">
            <v>184</v>
          </cell>
          <cell r="D3124" t="str">
            <v>Borders_Curron_25</v>
          </cell>
        </row>
        <row r="3125">
          <cell r="B3125">
            <v>45706</v>
          </cell>
          <cell r="C3125">
            <v>160.6</v>
          </cell>
          <cell r="D3125" t="str">
            <v>Bryant_Ajon_25</v>
          </cell>
        </row>
        <row r="3126">
          <cell r="B3126">
            <v>45706</v>
          </cell>
          <cell r="C3126">
            <v>233.6</v>
          </cell>
          <cell r="D3126" t="str">
            <v>Cashiola_Josh_25</v>
          </cell>
        </row>
        <row r="3127">
          <cell r="B3127">
            <v>45706</v>
          </cell>
          <cell r="C3127">
            <v>171</v>
          </cell>
          <cell r="D3127" t="str">
            <v>Curtis_Jamar_25</v>
          </cell>
        </row>
        <row r="3128">
          <cell r="B3128">
            <v>45706</v>
          </cell>
          <cell r="C3128">
            <v>230.6</v>
          </cell>
          <cell r="D3128" t="str">
            <v>Davis_Diego_25</v>
          </cell>
        </row>
        <row r="3129">
          <cell r="B3129">
            <v>45706</v>
          </cell>
          <cell r="C3129">
            <v>201</v>
          </cell>
          <cell r="D3129" t="str">
            <v>Emerson_Yebrell_25</v>
          </cell>
        </row>
        <row r="3130">
          <cell r="B3130">
            <v>45706</v>
          </cell>
          <cell r="C3130">
            <v>221.5</v>
          </cell>
          <cell r="D3130" t="str">
            <v>Eskridge_Matthew_25</v>
          </cell>
        </row>
        <row r="3131">
          <cell r="B3131">
            <v>45706</v>
          </cell>
          <cell r="C3131">
            <v>185.2</v>
          </cell>
          <cell r="D3131" t="str">
            <v>Firebaugh_Joseph_25</v>
          </cell>
        </row>
        <row r="3132">
          <cell r="B3132">
            <v>45706</v>
          </cell>
          <cell r="C3132">
            <v>174.2</v>
          </cell>
          <cell r="D3132" t="str">
            <v>Fresques_Jaxon_25</v>
          </cell>
        </row>
        <row r="3133">
          <cell r="B3133">
            <v>45706</v>
          </cell>
          <cell r="C3133">
            <v>294.39999999999998</v>
          </cell>
          <cell r="D3133" t="str">
            <v>Gretlein_Cade_25</v>
          </cell>
        </row>
        <row r="3134">
          <cell r="B3134">
            <v>45706</v>
          </cell>
          <cell r="C3134">
            <v>197.2</v>
          </cell>
          <cell r="D3134" t="str">
            <v>Hammond_Rodney_25</v>
          </cell>
        </row>
        <row r="3135">
          <cell r="B3135">
            <v>45706</v>
          </cell>
          <cell r="C3135">
            <v>294.60000000000002</v>
          </cell>
          <cell r="D3135" t="str">
            <v>Hays_Sawyer_25</v>
          </cell>
        </row>
        <row r="3136">
          <cell r="B3136">
            <v>45706</v>
          </cell>
          <cell r="C3136">
            <v>214.4</v>
          </cell>
          <cell r="D3136" t="str">
            <v>Henderson_Damian_25</v>
          </cell>
        </row>
        <row r="3137">
          <cell r="B3137">
            <v>45706</v>
          </cell>
          <cell r="C3137">
            <v>189</v>
          </cell>
          <cell r="D3137" t="str">
            <v>Higgins_Kaleb_25</v>
          </cell>
        </row>
        <row r="3138">
          <cell r="B3138">
            <v>45706</v>
          </cell>
          <cell r="C3138">
            <v>228.8</v>
          </cell>
          <cell r="D3138" t="str">
            <v>Houston_Derek_25</v>
          </cell>
        </row>
        <row r="3139">
          <cell r="B3139">
            <v>45706</v>
          </cell>
          <cell r="C3139">
            <v>203.6</v>
          </cell>
          <cell r="D3139" t="str">
            <v>Huddle_Elijah_25</v>
          </cell>
        </row>
        <row r="3140">
          <cell r="B3140">
            <v>45706</v>
          </cell>
          <cell r="C3140">
            <v>186</v>
          </cell>
          <cell r="D3140" t="str">
            <v>Johnson-Burrell_Lamont_25</v>
          </cell>
        </row>
        <row r="3141">
          <cell r="B3141">
            <v>45706</v>
          </cell>
          <cell r="C3141">
            <v>219.6</v>
          </cell>
          <cell r="D3141" t="str">
            <v>Johnston_Adam_25</v>
          </cell>
        </row>
        <row r="3142">
          <cell r="B3142">
            <v>45706</v>
          </cell>
          <cell r="C3142">
            <v>303.60000000000002</v>
          </cell>
          <cell r="D3142" t="str">
            <v>Kovacs_Giovanni_25</v>
          </cell>
        </row>
        <row r="3143">
          <cell r="B3143">
            <v>45706</v>
          </cell>
          <cell r="C3143">
            <v>162</v>
          </cell>
          <cell r="D3143" t="str">
            <v>Lee_Ricky_25</v>
          </cell>
        </row>
        <row r="3144">
          <cell r="B3144">
            <v>45706</v>
          </cell>
          <cell r="C3144">
            <v>335.2</v>
          </cell>
          <cell r="D3144" t="str">
            <v>May_Davis_25</v>
          </cell>
        </row>
        <row r="3145">
          <cell r="B3145">
            <v>45706</v>
          </cell>
          <cell r="C3145">
            <v>176.2</v>
          </cell>
          <cell r="D3145" t="str">
            <v>McDaniel_Damien_25</v>
          </cell>
        </row>
        <row r="3146">
          <cell r="B3146">
            <v>45706</v>
          </cell>
          <cell r="C3146">
            <v>182</v>
          </cell>
          <cell r="D3146" t="str">
            <v>McDowell_Connor_25</v>
          </cell>
        </row>
        <row r="3147">
          <cell r="B3147">
            <v>45706</v>
          </cell>
          <cell r="C3147">
            <v>280.39999999999998</v>
          </cell>
          <cell r="D3147" t="str">
            <v>McGlothen_Jayland_25</v>
          </cell>
        </row>
        <row r="3148">
          <cell r="B3148">
            <v>45706</v>
          </cell>
          <cell r="C3148">
            <v>193</v>
          </cell>
          <cell r="D3148" t="str">
            <v>McGough_Cal_25</v>
          </cell>
        </row>
        <row r="3149">
          <cell r="B3149">
            <v>45706</v>
          </cell>
          <cell r="C3149">
            <v>300.60000000000002</v>
          </cell>
          <cell r="D3149" t="str">
            <v>McKay_Richard_25</v>
          </cell>
        </row>
        <row r="3150">
          <cell r="B3150">
            <v>45706</v>
          </cell>
          <cell r="C3150">
            <v>196.8</v>
          </cell>
          <cell r="D3150" t="str">
            <v>McKenzie_Anta'Veon_25</v>
          </cell>
        </row>
        <row r="3151">
          <cell r="B3151">
            <v>45706</v>
          </cell>
          <cell r="C3151">
            <v>180</v>
          </cell>
          <cell r="D3151" t="str">
            <v>Meadors_Grant_25</v>
          </cell>
        </row>
        <row r="3152">
          <cell r="B3152">
            <v>45706</v>
          </cell>
          <cell r="C3152">
            <v>301</v>
          </cell>
          <cell r="D3152" t="str">
            <v>Meek_Aidan_25</v>
          </cell>
        </row>
        <row r="3153">
          <cell r="B3153">
            <v>45706</v>
          </cell>
          <cell r="C3153">
            <v>189</v>
          </cell>
          <cell r="D3153" t="str">
            <v>Melanson_Mike_25</v>
          </cell>
        </row>
        <row r="3154">
          <cell r="B3154">
            <v>45706</v>
          </cell>
          <cell r="C3154">
            <v>171.4</v>
          </cell>
          <cell r="D3154" t="str">
            <v>Mullican_Elias_25</v>
          </cell>
        </row>
        <row r="3155">
          <cell r="B3155">
            <v>45706</v>
          </cell>
          <cell r="C3155">
            <v>190</v>
          </cell>
          <cell r="D3155" t="str">
            <v>NA</v>
          </cell>
        </row>
        <row r="3156">
          <cell r="B3156">
            <v>45706</v>
          </cell>
          <cell r="C3156">
            <v>236.2</v>
          </cell>
          <cell r="D3156" t="str">
            <v>Nelson_Gavin_25</v>
          </cell>
        </row>
        <row r="3157">
          <cell r="B3157">
            <v>45706</v>
          </cell>
          <cell r="C3157">
            <v>274.39999999999998</v>
          </cell>
          <cell r="D3157" t="str">
            <v>Norris_Sammy_25</v>
          </cell>
        </row>
        <row r="3158">
          <cell r="B3158">
            <v>45706</v>
          </cell>
          <cell r="C3158">
            <v>173.2</v>
          </cell>
          <cell r="D3158" t="str">
            <v>Oliver_Jason_25</v>
          </cell>
        </row>
        <row r="3159">
          <cell r="B3159">
            <v>45706</v>
          </cell>
          <cell r="C3159">
            <v>303.60000000000002</v>
          </cell>
          <cell r="D3159" t="str">
            <v>Ortiz_Elijah_25</v>
          </cell>
        </row>
        <row r="3160">
          <cell r="B3160">
            <v>45706</v>
          </cell>
          <cell r="C3160">
            <v>228</v>
          </cell>
          <cell r="D3160" t="str">
            <v>Puloka_Fata_25</v>
          </cell>
        </row>
        <row r="3161">
          <cell r="B3161">
            <v>45706</v>
          </cell>
          <cell r="C3161">
            <v>332.6</v>
          </cell>
          <cell r="D3161" t="str">
            <v>Riley_Kenndel_25</v>
          </cell>
        </row>
        <row r="3162">
          <cell r="B3162">
            <v>45706</v>
          </cell>
          <cell r="C3162">
            <v>215.6</v>
          </cell>
          <cell r="D3162" t="str">
            <v>Rocha_Alex_25</v>
          </cell>
        </row>
        <row r="3163">
          <cell r="B3163">
            <v>45706</v>
          </cell>
          <cell r="C3163">
            <v>250</v>
          </cell>
          <cell r="D3163" t="str">
            <v>Scott_Brennon_25</v>
          </cell>
        </row>
        <row r="3164">
          <cell r="B3164">
            <v>45706</v>
          </cell>
          <cell r="C3164">
            <v>269.2</v>
          </cell>
          <cell r="D3164" t="str">
            <v>Slater_Luke_25</v>
          </cell>
        </row>
        <row r="3165">
          <cell r="B3165">
            <v>45706</v>
          </cell>
          <cell r="C3165">
            <v>184.4</v>
          </cell>
          <cell r="D3165" t="str">
            <v>Solis_Jojo_25</v>
          </cell>
        </row>
        <row r="3166">
          <cell r="B3166">
            <v>45706</v>
          </cell>
          <cell r="C3166">
            <v>311.60000000000002</v>
          </cell>
          <cell r="D3166" t="str">
            <v>Soto_Jose_25</v>
          </cell>
        </row>
        <row r="3167">
          <cell r="B3167">
            <v>45706</v>
          </cell>
          <cell r="C3167">
            <v>302</v>
          </cell>
          <cell r="D3167" t="str">
            <v>Sousa_Brandon_25</v>
          </cell>
        </row>
        <row r="3168">
          <cell r="B3168">
            <v>45706</v>
          </cell>
          <cell r="C3168">
            <v>288</v>
          </cell>
          <cell r="D3168" t="str">
            <v>Speno_Joseph_25</v>
          </cell>
        </row>
        <row r="3169">
          <cell r="B3169">
            <v>45706</v>
          </cell>
          <cell r="C3169">
            <v>306.60000000000002</v>
          </cell>
          <cell r="D3169" t="str">
            <v>Summers_Bryson_25</v>
          </cell>
        </row>
        <row r="3170">
          <cell r="B3170">
            <v>45706</v>
          </cell>
          <cell r="C3170">
            <v>278</v>
          </cell>
          <cell r="D3170" t="str">
            <v>Tagaloa_Brodie_25</v>
          </cell>
        </row>
        <row r="3171">
          <cell r="B3171">
            <v>45706</v>
          </cell>
          <cell r="C3171">
            <v>230.2</v>
          </cell>
          <cell r="D3171" t="str">
            <v>Tanner_Logan_25</v>
          </cell>
        </row>
        <row r="3172">
          <cell r="B3172">
            <v>45706</v>
          </cell>
          <cell r="C3172">
            <v>160</v>
          </cell>
          <cell r="D3172" t="str">
            <v>Taylor_Adam_25</v>
          </cell>
        </row>
        <row r="3173">
          <cell r="B3173">
            <v>45706</v>
          </cell>
          <cell r="C3173">
            <v>237.6</v>
          </cell>
          <cell r="D3173" t="str">
            <v>Vi_Pita_25</v>
          </cell>
        </row>
        <row r="3174">
          <cell r="B3174">
            <v>45706</v>
          </cell>
          <cell r="C3174">
            <v>177.6</v>
          </cell>
          <cell r="D3174" t="str">
            <v>Williams_Cardell_25</v>
          </cell>
        </row>
        <row r="3175">
          <cell r="B3175">
            <v>45706</v>
          </cell>
          <cell r="C3175">
            <v>183</v>
          </cell>
          <cell r="D3175" t="str">
            <v>Williams_Jalen_25</v>
          </cell>
        </row>
        <row r="3176">
          <cell r="B3176">
            <v>45706</v>
          </cell>
          <cell r="C3176">
            <v>223</v>
          </cell>
          <cell r="D3176" t="str">
            <v>Williams_Jordan_25</v>
          </cell>
        </row>
        <row r="3177">
          <cell r="B3177">
            <v>45706</v>
          </cell>
          <cell r="C3177">
            <v>260</v>
          </cell>
          <cell r="D3177" t="str">
            <v>Williams_Xavier_25</v>
          </cell>
        </row>
        <row r="3178">
          <cell r="B3178">
            <v>45701</v>
          </cell>
          <cell r="C3178">
            <v>299.2</v>
          </cell>
          <cell r="D3178" t="str">
            <v>Abdullah_Dean_25</v>
          </cell>
        </row>
        <row r="3179">
          <cell r="B3179">
            <v>45701</v>
          </cell>
          <cell r="C3179">
            <v>190.2</v>
          </cell>
          <cell r="D3179" t="str">
            <v>Akui_Koa_25</v>
          </cell>
        </row>
        <row r="3180">
          <cell r="B3180">
            <v>45701</v>
          </cell>
          <cell r="C3180">
            <v>265.2</v>
          </cell>
          <cell r="D3180" t="str">
            <v>Ambuehl_Davis_25</v>
          </cell>
        </row>
        <row r="3181">
          <cell r="B3181">
            <v>45701</v>
          </cell>
          <cell r="C3181">
            <v>211</v>
          </cell>
          <cell r="D3181" t="str">
            <v>Anderson_Hayden_25</v>
          </cell>
        </row>
        <row r="3182">
          <cell r="B3182">
            <v>45701</v>
          </cell>
          <cell r="C3182">
            <v>169</v>
          </cell>
          <cell r="D3182" t="str">
            <v>Anderson_Jordan_25</v>
          </cell>
        </row>
        <row r="3183">
          <cell r="B3183">
            <v>45701</v>
          </cell>
          <cell r="C3183">
            <v>282.60000000000002</v>
          </cell>
          <cell r="D3183" t="str">
            <v>Bailey_Miles_25</v>
          </cell>
        </row>
        <row r="3184">
          <cell r="B3184">
            <v>45701</v>
          </cell>
          <cell r="C3184">
            <v>219.4</v>
          </cell>
          <cell r="D3184" t="str">
            <v>Boeddeker_Hunter_25</v>
          </cell>
        </row>
        <row r="3185">
          <cell r="B3185">
            <v>45701</v>
          </cell>
          <cell r="C3185">
            <v>186.6</v>
          </cell>
          <cell r="D3185" t="str">
            <v>Borders_Curron_25</v>
          </cell>
        </row>
        <row r="3186">
          <cell r="B3186">
            <v>45701</v>
          </cell>
          <cell r="C3186">
            <v>162</v>
          </cell>
          <cell r="D3186" t="str">
            <v>Bryant_Ajon_25</v>
          </cell>
        </row>
        <row r="3187">
          <cell r="B3187">
            <v>45701</v>
          </cell>
          <cell r="C3187">
            <v>238.2</v>
          </cell>
          <cell r="D3187" t="str">
            <v>Cashiola_Josh_25</v>
          </cell>
        </row>
        <row r="3188">
          <cell r="B3188">
            <v>45701</v>
          </cell>
          <cell r="C3188">
            <v>159.19999999999999</v>
          </cell>
          <cell r="D3188" t="str">
            <v>Conerly_Tim_25</v>
          </cell>
        </row>
        <row r="3189">
          <cell r="B3189">
            <v>45701</v>
          </cell>
          <cell r="C3189">
            <v>167.8</v>
          </cell>
          <cell r="D3189" t="str">
            <v>Curtis_Jamar_25</v>
          </cell>
        </row>
        <row r="3190">
          <cell r="B3190">
            <v>45701</v>
          </cell>
          <cell r="C3190">
            <v>230.2</v>
          </cell>
          <cell r="D3190" t="str">
            <v>Davis_Diego_25</v>
          </cell>
        </row>
        <row r="3191">
          <cell r="B3191">
            <v>45701</v>
          </cell>
          <cell r="C3191">
            <v>200</v>
          </cell>
          <cell r="D3191" t="str">
            <v>Emerson_Yebrell_25</v>
          </cell>
        </row>
        <row r="3192">
          <cell r="B3192">
            <v>45701</v>
          </cell>
          <cell r="C3192">
            <v>219</v>
          </cell>
          <cell r="D3192" t="str">
            <v>Eskridge_Matthew_25</v>
          </cell>
        </row>
        <row r="3193">
          <cell r="B3193">
            <v>45701</v>
          </cell>
          <cell r="C3193">
            <v>187.6</v>
          </cell>
          <cell r="D3193" t="str">
            <v>Firebaugh_Joseph_25</v>
          </cell>
        </row>
        <row r="3194">
          <cell r="B3194">
            <v>45701</v>
          </cell>
          <cell r="C3194">
            <v>174</v>
          </cell>
          <cell r="D3194" t="str">
            <v>Fresques_Jaxon_25</v>
          </cell>
        </row>
        <row r="3195">
          <cell r="B3195">
            <v>45701</v>
          </cell>
          <cell r="C3195">
            <v>293.2</v>
          </cell>
          <cell r="D3195" t="str">
            <v>Gretlein_Cade_25</v>
          </cell>
        </row>
        <row r="3196">
          <cell r="B3196">
            <v>45701</v>
          </cell>
          <cell r="C3196">
            <v>197</v>
          </cell>
          <cell r="D3196" t="str">
            <v>Hammond_Rodney_25</v>
          </cell>
        </row>
        <row r="3197">
          <cell r="B3197">
            <v>45701</v>
          </cell>
          <cell r="C3197">
            <v>294.60000000000002</v>
          </cell>
          <cell r="D3197" t="str">
            <v>Hays_Sawyer_25</v>
          </cell>
        </row>
        <row r="3198">
          <cell r="B3198">
            <v>45701</v>
          </cell>
          <cell r="C3198">
            <v>211.6</v>
          </cell>
          <cell r="D3198" t="str">
            <v>Henderson_Damian_25</v>
          </cell>
        </row>
        <row r="3199">
          <cell r="B3199">
            <v>45701</v>
          </cell>
          <cell r="C3199">
            <v>192.4</v>
          </cell>
          <cell r="D3199" t="str">
            <v>Higgins_Kaleb_25</v>
          </cell>
        </row>
        <row r="3200">
          <cell r="B3200">
            <v>45701</v>
          </cell>
          <cell r="C3200">
            <v>228.8</v>
          </cell>
          <cell r="D3200" t="str">
            <v>Houston_Derek_25</v>
          </cell>
        </row>
        <row r="3201">
          <cell r="B3201">
            <v>45701</v>
          </cell>
          <cell r="C3201">
            <v>206.4</v>
          </cell>
          <cell r="D3201" t="str">
            <v>Huddle_Elijah_25</v>
          </cell>
        </row>
        <row r="3202">
          <cell r="B3202">
            <v>45701</v>
          </cell>
          <cell r="C3202">
            <v>184.8</v>
          </cell>
          <cell r="D3202" t="str">
            <v>Johnson-Burrell_Lamont_25</v>
          </cell>
        </row>
        <row r="3203">
          <cell r="B3203">
            <v>45701</v>
          </cell>
          <cell r="C3203">
            <v>215.8</v>
          </cell>
          <cell r="D3203" t="str">
            <v>Johnston_Adam_25</v>
          </cell>
        </row>
        <row r="3204">
          <cell r="B3204">
            <v>45701</v>
          </cell>
          <cell r="C3204">
            <v>304.2</v>
          </cell>
          <cell r="D3204" t="str">
            <v>Kovacs_Giovanni_25</v>
          </cell>
        </row>
        <row r="3205">
          <cell r="B3205">
            <v>45701</v>
          </cell>
          <cell r="C3205">
            <v>159.6</v>
          </cell>
          <cell r="D3205" t="str">
            <v>Lee_Ricky_25</v>
          </cell>
        </row>
        <row r="3206">
          <cell r="B3206">
            <v>45701</v>
          </cell>
          <cell r="C3206">
            <v>338.2</v>
          </cell>
          <cell r="D3206" t="str">
            <v>May_Davis_25</v>
          </cell>
        </row>
        <row r="3207">
          <cell r="B3207">
            <v>45701</v>
          </cell>
          <cell r="C3207">
            <v>177.4</v>
          </cell>
          <cell r="D3207" t="str">
            <v>McDaniel_Damien_25</v>
          </cell>
        </row>
        <row r="3208">
          <cell r="B3208">
            <v>45701</v>
          </cell>
          <cell r="C3208">
            <v>182.8</v>
          </cell>
          <cell r="D3208" t="str">
            <v>McDowell_Connor_25</v>
          </cell>
        </row>
        <row r="3209">
          <cell r="B3209">
            <v>45701</v>
          </cell>
          <cell r="C3209">
            <v>278</v>
          </cell>
          <cell r="D3209" t="str">
            <v>McGlothen_Jayland_25</v>
          </cell>
        </row>
        <row r="3210">
          <cell r="B3210">
            <v>45701</v>
          </cell>
          <cell r="C3210">
            <v>192.6</v>
          </cell>
          <cell r="D3210" t="str">
            <v>McGough_Cal_25</v>
          </cell>
        </row>
        <row r="3211">
          <cell r="B3211">
            <v>45701</v>
          </cell>
          <cell r="C3211">
            <v>297</v>
          </cell>
          <cell r="D3211" t="str">
            <v>McKay_Richard_25</v>
          </cell>
        </row>
        <row r="3212">
          <cell r="B3212">
            <v>45701</v>
          </cell>
          <cell r="C3212">
            <v>192.8</v>
          </cell>
          <cell r="D3212" t="str">
            <v>McKenzie_Anta'Veon_25</v>
          </cell>
        </row>
        <row r="3213">
          <cell r="B3213">
            <v>45701</v>
          </cell>
          <cell r="C3213">
            <v>180.6</v>
          </cell>
          <cell r="D3213" t="str">
            <v>Meadors_Grant_25</v>
          </cell>
        </row>
        <row r="3214">
          <cell r="B3214">
            <v>45701</v>
          </cell>
          <cell r="C3214">
            <v>300</v>
          </cell>
          <cell r="D3214" t="str">
            <v>Meek_Aidan_25</v>
          </cell>
        </row>
        <row r="3215">
          <cell r="B3215">
            <v>45701</v>
          </cell>
          <cell r="C3215">
            <v>189</v>
          </cell>
          <cell r="D3215" t="str">
            <v>Melanson_Mike_25</v>
          </cell>
        </row>
        <row r="3216">
          <cell r="B3216">
            <v>45701</v>
          </cell>
          <cell r="C3216">
            <v>170.4</v>
          </cell>
          <cell r="D3216" t="str">
            <v>Mullican_Elias_25</v>
          </cell>
        </row>
        <row r="3217">
          <cell r="B3217">
            <v>45701</v>
          </cell>
          <cell r="C3217">
            <v>189.4</v>
          </cell>
          <cell r="D3217" t="str">
            <v>NA</v>
          </cell>
        </row>
        <row r="3218">
          <cell r="B3218">
            <v>45701</v>
          </cell>
          <cell r="C3218">
            <v>238.2</v>
          </cell>
          <cell r="D3218" t="str">
            <v>Nelson_Gavin_25</v>
          </cell>
        </row>
        <row r="3219">
          <cell r="B3219">
            <v>45701</v>
          </cell>
          <cell r="C3219">
            <v>277.60000000000002</v>
          </cell>
          <cell r="D3219" t="str">
            <v>Norris_Sammy_25</v>
          </cell>
        </row>
        <row r="3220">
          <cell r="B3220">
            <v>45701</v>
          </cell>
          <cell r="C3220">
            <v>169.6</v>
          </cell>
          <cell r="D3220" t="str">
            <v>Oliver_Jason_25</v>
          </cell>
        </row>
        <row r="3221">
          <cell r="B3221">
            <v>45701</v>
          </cell>
          <cell r="C3221">
            <v>304</v>
          </cell>
          <cell r="D3221" t="str">
            <v>Ortiz_Elijah_25</v>
          </cell>
        </row>
        <row r="3222">
          <cell r="B3222">
            <v>45701</v>
          </cell>
          <cell r="C3222">
            <v>226</v>
          </cell>
          <cell r="D3222" t="str">
            <v>Puloka_Fata_25</v>
          </cell>
        </row>
        <row r="3223">
          <cell r="B3223">
            <v>45701</v>
          </cell>
          <cell r="C3223">
            <v>335.6</v>
          </cell>
          <cell r="D3223" t="str">
            <v>Riley_Kenndel_25</v>
          </cell>
        </row>
        <row r="3224">
          <cell r="B3224">
            <v>45701</v>
          </cell>
          <cell r="C3224">
            <v>216</v>
          </cell>
          <cell r="D3224" t="str">
            <v>Rocha_Alex_25</v>
          </cell>
        </row>
        <row r="3225">
          <cell r="B3225">
            <v>45701</v>
          </cell>
          <cell r="C3225">
            <v>251.6</v>
          </cell>
          <cell r="D3225" t="str">
            <v>Scott_Brennon_25</v>
          </cell>
        </row>
        <row r="3226">
          <cell r="B3226">
            <v>45701</v>
          </cell>
          <cell r="C3226">
            <v>271.60000000000002</v>
          </cell>
          <cell r="D3226" t="str">
            <v>Slater_Luke_25</v>
          </cell>
        </row>
        <row r="3227">
          <cell r="B3227">
            <v>45701</v>
          </cell>
          <cell r="C3227">
            <v>179.6</v>
          </cell>
          <cell r="D3227" t="str">
            <v>Smith_Onterrio_25</v>
          </cell>
        </row>
        <row r="3228">
          <cell r="B3228">
            <v>45701</v>
          </cell>
          <cell r="C3228">
            <v>188.8</v>
          </cell>
          <cell r="D3228" t="str">
            <v>Solis_Jojo_25</v>
          </cell>
        </row>
        <row r="3229">
          <cell r="B3229">
            <v>45701</v>
          </cell>
          <cell r="C3229">
            <v>311.39999999999998</v>
          </cell>
          <cell r="D3229" t="str">
            <v>Soto_Jose_25</v>
          </cell>
        </row>
        <row r="3230">
          <cell r="B3230">
            <v>45701</v>
          </cell>
          <cell r="C3230">
            <v>306.60000000000002</v>
          </cell>
          <cell r="D3230" t="str">
            <v>Sousa_Brandon_25</v>
          </cell>
        </row>
        <row r="3231">
          <cell r="B3231">
            <v>45701</v>
          </cell>
          <cell r="C3231">
            <v>288.8</v>
          </cell>
          <cell r="D3231" t="str">
            <v>Speno_Joseph_25</v>
          </cell>
        </row>
        <row r="3232">
          <cell r="B3232">
            <v>45701</v>
          </cell>
          <cell r="C3232">
            <v>306.39999999999998</v>
          </cell>
          <cell r="D3232" t="str">
            <v>Summers_Bryson_25</v>
          </cell>
        </row>
        <row r="3233">
          <cell r="B3233">
            <v>45701</v>
          </cell>
          <cell r="C3233">
            <v>282.60000000000002</v>
          </cell>
          <cell r="D3233" t="str">
            <v>Tagaloa_Brodie_25</v>
          </cell>
        </row>
        <row r="3234">
          <cell r="B3234">
            <v>45701</v>
          </cell>
          <cell r="C3234">
            <v>225.4</v>
          </cell>
          <cell r="D3234" t="str">
            <v>Tanner_Logan_25</v>
          </cell>
        </row>
        <row r="3235">
          <cell r="B3235">
            <v>45701</v>
          </cell>
          <cell r="C3235">
            <v>161.4</v>
          </cell>
          <cell r="D3235" t="str">
            <v>Taylor_Adam_25</v>
          </cell>
        </row>
        <row r="3236">
          <cell r="B3236">
            <v>45701</v>
          </cell>
          <cell r="C3236">
            <v>235.4</v>
          </cell>
          <cell r="D3236" t="str">
            <v>Vi_Pita_25</v>
          </cell>
        </row>
        <row r="3237">
          <cell r="B3237">
            <v>45701</v>
          </cell>
          <cell r="C3237">
            <v>177.4</v>
          </cell>
          <cell r="D3237" t="str">
            <v>Williams_Cardell_25</v>
          </cell>
        </row>
        <row r="3238">
          <cell r="B3238">
            <v>45701</v>
          </cell>
          <cell r="C3238">
            <v>185.2</v>
          </cell>
          <cell r="D3238" t="str">
            <v>Williams_Jalen_25</v>
          </cell>
        </row>
        <row r="3239">
          <cell r="B3239">
            <v>45701</v>
          </cell>
          <cell r="C3239">
            <v>222.4</v>
          </cell>
          <cell r="D3239" t="str">
            <v>Williams_Jordan_25</v>
          </cell>
        </row>
        <row r="3240">
          <cell r="B3240">
            <v>45701</v>
          </cell>
          <cell r="C3240">
            <v>258.2</v>
          </cell>
          <cell r="D3240" t="str">
            <v>Williams_Xavier_25</v>
          </cell>
        </row>
        <row r="3241">
          <cell r="B3241">
            <v>45699</v>
          </cell>
          <cell r="C3241">
            <v>298</v>
          </cell>
          <cell r="D3241" t="str">
            <v>Abdullah_Dean_25</v>
          </cell>
        </row>
        <row r="3242">
          <cell r="B3242">
            <v>45699</v>
          </cell>
          <cell r="C3242">
            <v>190.2</v>
          </cell>
          <cell r="D3242" t="str">
            <v>Akui_Koa_25</v>
          </cell>
        </row>
        <row r="3243">
          <cell r="B3243">
            <v>45699</v>
          </cell>
          <cell r="C3243">
            <v>265.60000000000002</v>
          </cell>
          <cell r="D3243" t="str">
            <v>Ambuehl_Davis_25</v>
          </cell>
        </row>
        <row r="3244">
          <cell r="B3244">
            <v>45699</v>
          </cell>
          <cell r="C3244">
            <v>210</v>
          </cell>
          <cell r="D3244" t="str">
            <v>Anderson_Hayden_25</v>
          </cell>
        </row>
        <row r="3245">
          <cell r="B3245">
            <v>45699</v>
          </cell>
          <cell r="C3245">
            <v>169</v>
          </cell>
          <cell r="D3245" t="str">
            <v>Anderson_Jordan_25</v>
          </cell>
        </row>
        <row r="3246">
          <cell r="B3246">
            <v>45699</v>
          </cell>
          <cell r="C3246">
            <v>283.2</v>
          </cell>
          <cell r="D3246" t="str">
            <v>Bailey_Miles_25</v>
          </cell>
        </row>
        <row r="3247">
          <cell r="B3247">
            <v>45699</v>
          </cell>
          <cell r="C3247">
            <v>215.8</v>
          </cell>
          <cell r="D3247" t="str">
            <v>Boeddeker_Hunter_25</v>
          </cell>
        </row>
        <row r="3248">
          <cell r="B3248">
            <v>45699</v>
          </cell>
          <cell r="C3248">
            <v>187.6</v>
          </cell>
          <cell r="D3248" t="str">
            <v>Borders_Curron_25</v>
          </cell>
        </row>
        <row r="3249">
          <cell r="B3249">
            <v>45699</v>
          </cell>
          <cell r="C3249">
            <v>162.6</v>
          </cell>
          <cell r="D3249" t="str">
            <v>Bryant_Ajon_25</v>
          </cell>
        </row>
        <row r="3250">
          <cell r="B3250">
            <v>45699</v>
          </cell>
          <cell r="C3250">
            <v>241.6</v>
          </cell>
          <cell r="D3250" t="str">
            <v>Cashiola_Josh_25</v>
          </cell>
        </row>
        <row r="3251">
          <cell r="B3251">
            <v>45699</v>
          </cell>
          <cell r="C3251">
            <v>159.80000000000001</v>
          </cell>
          <cell r="D3251" t="str">
            <v>Conerly_Tim_25</v>
          </cell>
        </row>
        <row r="3252">
          <cell r="B3252">
            <v>45699</v>
          </cell>
          <cell r="C3252">
            <v>163.80000000000001</v>
          </cell>
          <cell r="D3252" t="str">
            <v>Curtis_Jamar_25</v>
          </cell>
        </row>
        <row r="3253">
          <cell r="B3253">
            <v>45699</v>
          </cell>
          <cell r="C3253">
            <v>229.2</v>
          </cell>
          <cell r="D3253" t="str">
            <v>Davis_Diego_25</v>
          </cell>
        </row>
        <row r="3254">
          <cell r="B3254">
            <v>45699</v>
          </cell>
          <cell r="C3254">
            <v>200</v>
          </cell>
          <cell r="D3254" t="str">
            <v>Emerson_Yebrell_25</v>
          </cell>
        </row>
        <row r="3255">
          <cell r="B3255">
            <v>45699</v>
          </cell>
          <cell r="C3255">
            <v>221.2</v>
          </cell>
          <cell r="D3255" t="str">
            <v>Eskridge_Matthew_25</v>
          </cell>
        </row>
        <row r="3256">
          <cell r="B3256">
            <v>45699</v>
          </cell>
          <cell r="C3256">
            <v>184</v>
          </cell>
          <cell r="D3256" t="str">
            <v>Firebaugh_Joseph_25</v>
          </cell>
        </row>
        <row r="3257">
          <cell r="B3257">
            <v>45699</v>
          </cell>
          <cell r="C3257">
            <v>173.6</v>
          </cell>
          <cell r="D3257" t="str">
            <v>Fresques_Jaxon_25</v>
          </cell>
        </row>
        <row r="3258">
          <cell r="B3258">
            <v>45699</v>
          </cell>
          <cell r="C3258">
            <v>292.8</v>
          </cell>
          <cell r="D3258" t="str">
            <v>Gretlein_Cade_25</v>
          </cell>
        </row>
        <row r="3259">
          <cell r="B3259">
            <v>45699</v>
          </cell>
          <cell r="C3259">
            <v>197.6</v>
          </cell>
          <cell r="D3259" t="str">
            <v>Hammond_Rodney_25</v>
          </cell>
        </row>
        <row r="3260">
          <cell r="B3260">
            <v>45699</v>
          </cell>
          <cell r="C3260">
            <v>294.2</v>
          </cell>
          <cell r="D3260" t="str">
            <v>Hays_Sawyer_25</v>
          </cell>
        </row>
        <row r="3261">
          <cell r="B3261">
            <v>45699</v>
          </cell>
          <cell r="C3261">
            <v>211.4</v>
          </cell>
          <cell r="D3261" t="str">
            <v>Henderson_Damian_25</v>
          </cell>
        </row>
        <row r="3262">
          <cell r="B3262">
            <v>45699</v>
          </cell>
          <cell r="C3262">
            <v>193.2</v>
          </cell>
          <cell r="D3262" t="str">
            <v>Higgins_Kaleb_25</v>
          </cell>
        </row>
        <row r="3263">
          <cell r="B3263">
            <v>45699</v>
          </cell>
          <cell r="C3263">
            <v>229</v>
          </cell>
          <cell r="D3263" t="str">
            <v>Houston_Derek_25</v>
          </cell>
        </row>
        <row r="3264">
          <cell r="B3264">
            <v>45699</v>
          </cell>
          <cell r="C3264">
            <v>205.6</v>
          </cell>
          <cell r="D3264" t="str">
            <v>Huddle_Elijah_25</v>
          </cell>
        </row>
        <row r="3265">
          <cell r="B3265">
            <v>45699</v>
          </cell>
          <cell r="C3265">
            <v>184.6</v>
          </cell>
          <cell r="D3265" t="str">
            <v>Johnson-Burrell_Lamont_25</v>
          </cell>
        </row>
        <row r="3266">
          <cell r="B3266">
            <v>45699</v>
          </cell>
          <cell r="C3266">
            <v>214.2</v>
          </cell>
          <cell r="D3266" t="str">
            <v>Johnston_Adam_25</v>
          </cell>
        </row>
        <row r="3267">
          <cell r="B3267">
            <v>45699</v>
          </cell>
          <cell r="C3267">
            <v>302.60000000000002</v>
          </cell>
          <cell r="D3267" t="str">
            <v>Kovacs_Giovanni_25</v>
          </cell>
        </row>
        <row r="3268">
          <cell r="B3268">
            <v>45699</v>
          </cell>
          <cell r="C3268">
            <v>160.4</v>
          </cell>
          <cell r="D3268" t="str">
            <v>Lee_Ricky_25</v>
          </cell>
        </row>
        <row r="3269">
          <cell r="B3269">
            <v>45699</v>
          </cell>
          <cell r="C3269">
            <v>334.8</v>
          </cell>
          <cell r="D3269" t="str">
            <v>May_Davis_25</v>
          </cell>
        </row>
        <row r="3270">
          <cell r="B3270">
            <v>45699</v>
          </cell>
          <cell r="C3270">
            <v>173.8</v>
          </cell>
          <cell r="D3270" t="str">
            <v>McDaniel_Damien_25</v>
          </cell>
        </row>
        <row r="3271">
          <cell r="B3271">
            <v>45699</v>
          </cell>
          <cell r="C3271">
            <v>180.5</v>
          </cell>
          <cell r="D3271" t="str">
            <v>McDowell_Connor_25</v>
          </cell>
        </row>
        <row r="3272">
          <cell r="B3272">
            <v>45699</v>
          </cell>
          <cell r="C3272">
            <v>278.8</v>
          </cell>
          <cell r="D3272" t="str">
            <v>McGlothen_Jayland_25</v>
          </cell>
        </row>
        <row r="3273">
          <cell r="B3273">
            <v>45699</v>
          </cell>
          <cell r="C3273">
            <v>193</v>
          </cell>
          <cell r="D3273" t="str">
            <v>McGough_Cal_25</v>
          </cell>
        </row>
        <row r="3274">
          <cell r="B3274">
            <v>45699</v>
          </cell>
          <cell r="C3274">
            <v>296.39999999999998</v>
          </cell>
          <cell r="D3274" t="str">
            <v>McKay_Richard_25</v>
          </cell>
        </row>
        <row r="3275">
          <cell r="B3275">
            <v>45699</v>
          </cell>
          <cell r="C3275">
            <v>192</v>
          </cell>
          <cell r="D3275" t="str">
            <v>McKenzie_Anta'Veon_25</v>
          </cell>
        </row>
        <row r="3276">
          <cell r="B3276">
            <v>45699</v>
          </cell>
          <cell r="C3276">
            <v>179.6</v>
          </cell>
          <cell r="D3276" t="str">
            <v>Meadors_Grant_25</v>
          </cell>
        </row>
        <row r="3277">
          <cell r="B3277">
            <v>45699</v>
          </cell>
          <cell r="C3277">
            <v>297.8</v>
          </cell>
          <cell r="D3277" t="str">
            <v>Meek_Aidan_25</v>
          </cell>
        </row>
        <row r="3278">
          <cell r="B3278">
            <v>45699</v>
          </cell>
          <cell r="C3278">
            <v>190.2</v>
          </cell>
          <cell r="D3278" t="str">
            <v>Melanson_Mike_25</v>
          </cell>
        </row>
        <row r="3279">
          <cell r="B3279">
            <v>45699</v>
          </cell>
          <cell r="C3279">
            <v>170.6</v>
          </cell>
          <cell r="D3279" t="str">
            <v>Mullican_Elias_25</v>
          </cell>
        </row>
        <row r="3280">
          <cell r="B3280">
            <v>45699</v>
          </cell>
          <cell r="C3280">
            <v>189.6</v>
          </cell>
          <cell r="D3280" t="str">
            <v>NA</v>
          </cell>
        </row>
        <row r="3281">
          <cell r="B3281">
            <v>45699</v>
          </cell>
          <cell r="C3281">
            <v>235.6</v>
          </cell>
          <cell r="D3281" t="str">
            <v>Nelson_Gavin_25</v>
          </cell>
        </row>
        <row r="3282">
          <cell r="B3282">
            <v>45699</v>
          </cell>
          <cell r="C3282">
            <v>276.8</v>
          </cell>
          <cell r="D3282" t="str">
            <v>Norris_Sammy_25</v>
          </cell>
        </row>
        <row r="3283">
          <cell r="B3283">
            <v>45699</v>
          </cell>
          <cell r="C3283">
            <v>170.6</v>
          </cell>
          <cell r="D3283" t="str">
            <v>Oliver_Jason_25</v>
          </cell>
        </row>
        <row r="3284">
          <cell r="B3284">
            <v>45699</v>
          </cell>
          <cell r="C3284">
            <v>305</v>
          </cell>
          <cell r="D3284" t="str">
            <v>Ortiz_Elijah_25</v>
          </cell>
        </row>
        <row r="3285">
          <cell r="B3285">
            <v>45699</v>
          </cell>
          <cell r="C3285">
            <v>229.8</v>
          </cell>
          <cell r="D3285" t="str">
            <v>Puloka_Fata_25</v>
          </cell>
        </row>
        <row r="3286">
          <cell r="B3286">
            <v>45699</v>
          </cell>
          <cell r="C3286">
            <v>333.8</v>
          </cell>
          <cell r="D3286" t="str">
            <v>Riley_Kenndel_25</v>
          </cell>
        </row>
        <row r="3287">
          <cell r="B3287">
            <v>45699</v>
          </cell>
          <cell r="C3287">
            <v>214.8</v>
          </cell>
          <cell r="D3287" t="str">
            <v>Rocha_Alex_25</v>
          </cell>
        </row>
        <row r="3288">
          <cell r="B3288">
            <v>45699</v>
          </cell>
          <cell r="C3288">
            <v>252.4</v>
          </cell>
          <cell r="D3288" t="str">
            <v>Scott_Brennon_25</v>
          </cell>
        </row>
        <row r="3289">
          <cell r="B3289">
            <v>45699</v>
          </cell>
          <cell r="C3289">
            <v>269.2</v>
          </cell>
          <cell r="D3289" t="str">
            <v>Slater_Luke_25</v>
          </cell>
        </row>
        <row r="3290">
          <cell r="B3290">
            <v>45699</v>
          </cell>
          <cell r="C3290">
            <v>177.4</v>
          </cell>
          <cell r="D3290" t="str">
            <v>Smith_Onterrio_25</v>
          </cell>
        </row>
        <row r="3291">
          <cell r="B3291">
            <v>45699</v>
          </cell>
          <cell r="C3291">
            <v>188.2</v>
          </cell>
          <cell r="D3291" t="str">
            <v>Solis_Jojo_25</v>
          </cell>
        </row>
        <row r="3292">
          <cell r="B3292">
            <v>45699</v>
          </cell>
          <cell r="C3292">
            <v>310</v>
          </cell>
          <cell r="D3292" t="str">
            <v>Soto_Jose_25</v>
          </cell>
        </row>
        <row r="3293">
          <cell r="B3293">
            <v>45699</v>
          </cell>
          <cell r="C3293">
            <v>306.60000000000002</v>
          </cell>
          <cell r="D3293" t="str">
            <v>Sousa_Brandon_25</v>
          </cell>
        </row>
        <row r="3294">
          <cell r="B3294">
            <v>45699</v>
          </cell>
          <cell r="C3294">
            <v>290.60000000000002</v>
          </cell>
          <cell r="D3294" t="str">
            <v>Speno_Joseph_25</v>
          </cell>
        </row>
        <row r="3295">
          <cell r="B3295">
            <v>45699</v>
          </cell>
          <cell r="C3295">
            <v>305</v>
          </cell>
          <cell r="D3295" t="str">
            <v>Summers_Bryson_25</v>
          </cell>
        </row>
        <row r="3296">
          <cell r="B3296">
            <v>45699</v>
          </cell>
          <cell r="C3296">
            <v>276.2</v>
          </cell>
          <cell r="D3296" t="str">
            <v>Tagaloa_Brodie_25</v>
          </cell>
        </row>
        <row r="3297">
          <cell r="B3297">
            <v>45699</v>
          </cell>
          <cell r="C3297">
            <v>227</v>
          </cell>
          <cell r="D3297" t="str">
            <v>Tanner_Logan_25</v>
          </cell>
        </row>
        <row r="3298">
          <cell r="B3298">
            <v>45699</v>
          </cell>
          <cell r="C3298">
            <v>160.19999999999999</v>
          </cell>
          <cell r="D3298" t="str">
            <v>Taylor_Adam_25</v>
          </cell>
        </row>
        <row r="3299">
          <cell r="B3299">
            <v>45699</v>
          </cell>
          <cell r="C3299">
            <v>236</v>
          </cell>
          <cell r="D3299" t="str">
            <v>Vi_Pita_25</v>
          </cell>
        </row>
        <row r="3300">
          <cell r="B3300">
            <v>45699</v>
          </cell>
          <cell r="C3300">
            <v>178.4</v>
          </cell>
          <cell r="D3300" t="str">
            <v>Williams_Cardell_25</v>
          </cell>
        </row>
        <row r="3301">
          <cell r="B3301">
            <v>45699</v>
          </cell>
          <cell r="C3301">
            <v>186.2</v>
          </cell>
          <cell r="D3301" t="str">
            <v>Williams_Jalen_25</v>
          </cell>
        </row>
        <row r="3302">
          <cell r="B3302">
            <v>45699</v>
          </cell>
          <cell r="C3302">
            <v>220.2</v>
          </cell>
          <cell r="D3302" t="str">
            <v>Williams_Jordan_25</v>
          </cell>
        </row>
        <row r="3303">
          <cell r="B3303">
            <v>45699</v>
          </cell>
          <cell r="C3303">
            <v>258</v>
          </cell>
          <cell r="D3303" t="str">
            <v>Williams_Xavier_25</v>
          </cell>
        </row>
        <row r="3304">
          <cell r="B3304">
            <v>45694</v>
          </cell>
          <cell r="C3304">
            <v>299.2</v>
          </cell>
          <cell r="D3304" t="str">
            <v>Abdullah_Dean_25</v>
          </cell>
        </row>
        <row r="3305">
          <cell r="B3305">
            <v>45694</v>
          </cell>
          <cell r="C3305">
            <v>189.9</v>
          </cell>
          <cell r="D3305" t="str">
            <v>Akui_Koa_25</v>
          </cell>
        </row>
        <row r="3306">
          <cell r="B3306">
            <v>45694</v>
          </cell>
          <cell r="C3306">
            <v>269.2</v>
          </cell>
          <cell r="D3306" t="str">
            <v>Ambuehl_Davis_25</v>
          </cell>
        </row>
        <row r="3307">
          <cell r="B3307">
            <v>45694</v>
          </cell>
          <cell r="C3307">
            <v>204.6</v>
          </cell>
          <cell r="D3307" t="str">
            <v>Anderson_Hayden_25</v>
          </cell>
        </row>
        <row r="3308">
          <cell r="B3308">
            <v>45694</v>
          </cell>
          <cell r="C3308">
            <v>167.8</v>
          </cell>
          <cell r="D3308" t="str">
            <v>Anderson_Jordan_25</v>
          </cell>
        </row>
        <row r="3309">
          <cell r="B3309">
            <v>45694</v>
          </cell>
          <cell r="C3309">
            <v>285.2</v>
          </cell>
          <cell r="D3309" t="str">
            <v>Bailey_Miles_25</v>
          </cell>
        </row>
        <row r="3310">
          <cell r="B3310">
            <v>45694</v>
          </cell>
          <cell r="C3310">
            <v>214.2</v>
          </cell>
          <cell r="D3310" t="str">
            <v>Boeddeker_Hunter_25</v>
          </cell>
        </row>
        <row r="3311">
          <cell r="B3311">
            <v>45694</v>
          </cell>
          <cell r="C3311">
            <v>185.4</v>
          </cell>
          <cell r="D3311" t="str">
            <v>Borders_Curron_25</v>
          </cell>
        </row>
        <row r="3312">
          <cell r="B3312">
            <v>45694</v>
          </cell>
          <cell r="C3312">
            <v>161</v>
          </cell>
          <cell r="D3312" t="str">
            <v>Bryant_Ajon_25</v>
          </cell>
        </row>
        <row r="3313">
          <cell r="B3313">
            <v>45694</v>
          </cell>
          <cell r="C3313">
            <v>238</v>
          </cell>
          <cell r="D3313" t="str">
            <v>Cashiola_Josh_25</v>
          </cell>
        </row>
        <row r="3314">
          <cell r="B3314">
            <v>45694</v>
          </cell>
          <cell r="C3314">
            <v>158</v>
          </cell>
          <cell r="D3314" t="str">
            <v>Conerly_Tim_25</v>
          </cell>
        </row>
        <row r="3315">
          <cell r="B3315">
            <v>45694</v>
          </cell>
          <cell r="C3315">
            <v>162.80000000000001</v>
          </cell>
          <cell r="D3315" t="str">
            <v>Curtis_Jamar_25</v>
          </cell>
        </row>
        <row r="3316">
          <cell r="B3316">
            <v>45694</v>
          </cell>
          <cell r="C3316">
            <v>228.6</v>
          </cell>
          <cell r="D3316" t="str">
            <v>Davis_Diego_25</v>
          </cell>
        </row>
        <row r="3317">
          <cell r="B3317">
            <v>45694</v>
          </cell>
          <cell r="C3317">
            <v>200.6</v>
          </cell>
          <cell r="D3317" t="str">
            <v>Emerson_Yebrell_25</v>
          </cell>
        </row>
        <row r="3318">
          <cell r="B3318">
            <v>45694</v>
          </cell>
          <cell r="C3318">
            <v>217.4</v>
          </cell>
          <cell r="D3318" t="str">
            <v>Eskridge_Matthew_25</v>
          </cell>
        </row>
        <row r="3319">
          <cell r="B3319">
            <v>45694</v>
          </cell>
          <cell r="C3319">
            <v>183.6</v>
          </cell>
          <cell r="D3319" t="str">
            <v>Firebaugh_Joseph_25</v>
          </cell>
        </row>
        <row r="3320">
          <cell r="B3320">
            <v>45694</v>
          </cell>
          <cell r="C3320">
            <v>171.6</v>
          </cell>
          <cell r="D3320" t="str">
            <v>Fresques_Jaxon_25</v>
          </cell>
        </row>
        <row r="3321">
          <cell r="B3321">
            <v>45694</v>
          </cell>
          <cell r="C3321">
            <v>293.2</v>
          </cell>
          <cell r="D3321" t="str">
            <v>Gretlein_Cade_25</v>
          </cell>
        </row>
        <row r="3322">
          <cell r="B3322">
            <v>45694</v>
          </cell>
          <cell r="C3322">
            <v>198.4</v>
          </cell>
          <cell r="D3322" t="str">
            <v>Hammond_Rodney_25</v>
          </cell>
        </row>
        <row r="3323">
          <cell r="B3323">
            <v>45694</v>
          </cell>
          <cell r="C3323">
            <v>296.2</v>
          </cell>
          <cell r="D3323" t="str">
            <v>Hays_Sawyer_25</v>
          </cell>
        </row>
        <row r="3324">
          <cell r="B3324">
            <v>45694</v>
          </cell>
          <cell r="C3324">
            <v>212.8</v>
          </cell>
          <cell r="D3324" t="str">
            <v>Henderson_Damian_25</v>
          </cell>
        </row>
        <row r="3325">
          <cell r="B3325">
            <v>45694</v>
          </cell>
          <cell r="C3325">
            <v>190.4</v>
          </cell>
          <cell r="D3325" t="str">
            <v>Higgins_Kaleb_25</v>
          </cell>
        </row>
        <row r="3326">
          <cell r="B3326">
            <v>45694</v>
          </cell>
          <cell r="C3326">
            <v>227.2</v>
          </cell>
          <cell r="D3326" t="str">
            <v>Houston_Derek_25</v>
          </cell>
        </row>
        <row r="3327">
          <cell r="B3327">
            <v>45694</v>
          </cell>
          <cell r="C3327">
            <v>208.8</v>
          </cell>
          <cell r="D3327" t="str">
            <v>Huddle_Elijah_25</v>
          </cell>
        </row>
        <row r="3328">
          <cell r="B3328">
            <v>45694</v>
          </cell>
          <cell r="C3328">
            <v>184.4</v>
          </cell>
          <cell r="D3328" t="str">
            <v>Johnson-Burrell_Lamont_25</v>
          </cell>
        </row>
        <row r="3329">
          <cell r="B3329">
            <v>45694</v>
          </cell>
          <cell r="C3329">
            <v>214.4</v>
          </cell>
          <cell r="D3329" t="str">
            <v>Johnston_Adam_25</v>
          </cell>
        </row>
        <row r="3330">
          <cell r="B3330">
            <v>45694</v>
          </cell>
          <cell r="C3330">
            <v>305</v>
          </cell>
          <cell r="D3330" t="str">
            <v>Kovacs_Giovanni_25</v>
          </cell>
        </row>
        <row r="3331">
          <cell r="B3331">
            <v>45694</v>
          </cell>
          <cell r="C3331">
            <v>163.4</v>
          </cell>
          <cell r="D3331" t="str">
            <v>Lee_Ricky_25</v>
          </cell>
        </row>
        <row r="3332">
          <cell r="B3332">
            <v>45694</v>
          </cell>
          <cell r="C3332">
            <v>335.6</v>
          </cell>
          <cell r="D3332" t="str">
            <v>May_Davis_25</v>
          </cell>
        </row>
        <row r="3333">
          <cell r="B3333">
            <v>45694</v>
          </cell>
          <cell r="C3333">
            <v>178</v>
          </cell>
          <cell r="D3333" t="str">
            <v>McDaniel_Damien_25</v>
          </cell>
        </row>
        <row r="3334">
          <cell r="B3334">
            <v>45694</v>
          </cell>
          <cell r="C3334">
            <v>181.2</v>
          </cell>
          <cell r="D3334" t="str">
            <v>McDowell_Connor_25</v>
          </cell>
        </row>
        <row r="3335">
          <cell r="B3335">
            <v>45694</v>
          </cell>
          <cell r="C3335">
            <v>280.2</v>
          </cell>
          <cell r="D3335" t="str">
            <v>McGlothen_Jayland_25</v>
          </cell>
        </row>
        <row r="3336">
          <cell r="B3336">
            <v>45694</v>
          </cell>
          <cell r="C3336">
            <v>193.8</v>
          </cell>
          <cell r="D3336" t="str">
            <v>McGough_Cal_25</v>
          </cell>
        </row>
        <row r="3337">
          <cell r="B3337">
            <v>45694</v>
          </cell>
          <cell r="C3337">
            <v>299.2</v>
          </cell>
          <cell r="D3337" t="str">
            <v>McKay_Richard_25</v>
          </cell>
        </row>
        <row r="3338">
          <cell r="B3338">
            <v>45694</v>
          </cell>
          <cell r="C3338">
            <v>190.8</v>
          </cell>
          <cell r="D3338" t="str">
            <v>McKenzie_Anta'Veon_25</v>
          </cell>
        </row>
        <row r="3339">
          <cell r="B3339">
            <v>45694</v>
          </cell>
          <cell r="C3339">
            <v>180.8</v>
          </cell>
          <cell r="D3339" t="str">
            <v>Meadors_Grant_25</v>
          </cell>
        </row>
        <row r="3340">
          <cell r="B3340">
            <v>45694</v>
          </cell>
          <cell r="C3340">
            <v>301.39999999999998</v>
          </cell>
          <cell r="D3340" t="str">
            <v>Meek_Aidan_25</v>
          </cell>
        </row>
        <row r="3341">
          <cell r="B3341">
            <v>45694</v>
          </cell>
          <cell r="C3341">
            <v>188.8</v>
          </cell>
          <cell r="D3341" t="str">
            <v>Melanson_Mike_25</v>
          </cell>
        </row>
        <row r="3342">
          <cell r="B3342">
            <v>45694</v>
          </cell>
          <cell r="C3342">
            <v>170.8</v>
          </cell>
          <cell r="D3342" t="str">
            <v>Mullican_Elias_25</v>
          </cell>
        </row>
        <row r="3343">
          <cell r="B3343">
            <v>45694</v>
          </cell>
          <cell r="C3343">
            <v>188.8</v>
          </cell>
          <cell r="D3343" t="str">
            <v>NA</v>
          </cell>
        </row>
        <row r="3344">
          <cell r="B3344">
            <v>45694</v>
          </cell>
          <cell r="C3344">
            <v>241</v>
          </cell>
          <cell r="D3344" t="str">
            <v>Nelson_Gavin_25</v>
          </cell>
        </row>
        <row r="3345">
          <cell r="B3345">
            <v>45694</v>
          </cell>
          <cell r="C3345">
            <v>277</v>
          </cell>
          <cell r="D3345" t="str">
            <v>Norris_Sammy_25</v>
          </cell>
        </row>
        <row r="3346">
          <cell r="B3346">
            <v>45694</v>
          </cell>
          <cell r="C3346">
            <v>169.4</v>
          </cell>
          <cell r="D3346" t="str">
            <v>Oliver_Jason_25</v>
          </cell>
        </row>
        <row r="3347">
          <cell r="B3347">
            <v>45694</v>
          </cell>
          <cell r="C3347">
            <v>305.2</v>
          </cell>
          <cell r="D3347" t="str">
            <v>Ortiz_Elijah_25</v>
          </cell>
        </row>
        <row r="3348">
          <cell r="B3348">
            <v>45694</v>
          </cell>
          <cell r="C3348">
            <v>226.8</v>
          </cell>
          <cell r="D3348" t="str">
            <v>Puloka_Fata_25</v>
          </cell>
        </row>
        <row r="3349">
          <cell r="B3349">
            <v>45694</v>
          </cell>
          <cell r="C3349">
            <v>335.6</v>
          </cell>
          <cell r="D3349" t="str">
            <v>Riley_Kenndel_25</v>
          </cell>
        </row>
        <row r="3350">
          <cell r="B3350">
            <v>45694</v>
          </cell>
          <cell r="C3350">
            <v>216.2</v>
          </cell>
          <cell r="D3350" t="str">
            <v>Rocha_Alex_25</v>
          </cell>
        </row>
        <row r="3351">
          <cell r="B3351">
            <v>45694</v>
          </cell>
          <cell r="C3351">
            <v>253.6</v>
          </cell>
          <cell r="D3351" t="str">
            <v>Scott_Brennon_25</v>
          </cell>
        </row>
        <row r="3352">
          <cell r="B3352">
            <v>45694</v>
          </cell>
          <cell r="C3352">
            <v>272</v>
          </cell>
          <cell r="D3352" t="str">
            <v>Slater_Luke_25</v>
          </cell>
        </row>
        <row r="3353">
          <cell r="B3353">
            <v>45694</v>
          </cell>
          <cell r="C3353">
            <v>188.6</v>
          </cell>
          <cell r="D3353" t="str">
            <v>Solis_Jojo_25</v>
          </cell>
        </row>
        <row r="3354">
          <cell r="B3354">
            <v>45694</v>
          </cell>
          <cell r="C3354">
            <v>311.60000000000002</v>
          </cell>
          <cell r="D3354" t="str">
            <v>Soto_Jose_25</v>
          </cell>
        </row>
        <row r="3355">
          <cell r="B3355">
            <v>45694</v>
          </cell>
          <cell r="C3355">
            <v>307.8</v>
          </cell>
          <cell r="D3355" t="str">
            <v>Sousa_Brandon_25</v>
          </cell>
        </row>
        <row r="3356">
          <cell r="B3356">
            <v>45694</v>
          </cell>
          <cell r="C3356">
            <v>288.39999999999998</v>
          </cell>
          <cell r="D3356" t="str">
            <v>Speno_Joseph_25</v>
          </cell>
        </row>
        <row r="3357">
          <cell r="B3357">
            <v>45694</v>
          </cell>
          <cell r="C3357">
            <v>307</v>
          </cell>
          <cell r="D3357" t="str">
            <v>Summers_Bryson_25</v>
          </cell>
        </row>
        <row r="3358">
          <cell r="B3358">
            <v>45694</v>
          </cell>
          <cell r="C3358">
            <v>280.39999999999998</v>
          </cell>
          <cell r="D3358" t="str">
            <v>Tagaloa_Brodie_25</v>
          </cell>
        </row>
        <row r="3359">
          <cell r="B3359">
            <v>45694</v>
          </cell>
          <cell r="C3359">
            <v>225</v>
          </cell>
          <cell r="D3359" t="str">
            <v>Tanner_Logan_25</v>
          </cell>
        </row>
        <row r="3360">
          <cell r="B3360">
            <v>45694</v>
          </cell>
          <cell r="C3360">
            <v>160.4</v>
          </cell>
          <cell r="D3360" t="str">
            <v>Taylor_Adam_25</v>
          </cell>
        </row>
        <row r="3361">
          <cell r="B3361">
            <v>45694</v>
          </cell>
          <cell r="C3361">
            <v>235.6</v>
          </cell>
          <cell r="D3361" t="str">
            <v>Vi_Pita_25</v>
          </cell>
        </row>
        <row r="3362">
          <cell r="B3362">
            <v>45694</v>
          </cell>
          <cell r="C3362">
            <v>180</v>
          </cell>
          <cell r="D3362" t="str">
            <v>Williams_Cardell_25</v>
          </cell>
        </row>
        <row r="3363">
          <cell r="B3363">
            <v>45694</v>
          </cell>
          <cell r="C3363">
            <v>185.4</v>
          </cell>
          <cell r="D3363" t="str">
            <v>Williams_Jalen_25</v>
          </cell>
        </row>
        <row r="3364">
          <cell r="B3364">
            <v>45694</v>
          </cell>
          <cell r="C3364">
            <v>221.4</v>
          </cell>
          <cell r="D3364" t="str">
            <v>Williams_Jordan_25</v>
          </cell>
        </row>
        <row r="3365">
          <cell r="B3365">
            <v>45694</v>
          </cell>
          <cell r="C3365">
            <v>260.2</v>
          </cell>
          <cell r="D3365" t="str">
            <v>Williams_Xavier_25</v>
          </cell>
        </row>
        <row r="3366">
          <cell r="B3366">
            <v>45686</v>
          </cell>
          <cell r="C3366">
            <v>300.608</v>
          </cell>
          <cell r="D3366" t="str">
            <v>Abdullah_Dean_25</v>
          </cell>
        </row>
        <row r="3367">
          <cell r="B3367">
            <v>45686</v>
          </cell>
          <cell r="C3367">
            <v>188.672</v>
          </cell>
          <cell r="D3367" t="str">
            <v>Akui_Koa_25</v>
          </cell>
        </row>
        <row r="3368">
          <cell r="B3368">
            <v>45686</v>
          </cell>
          <cell r="C3368">
            <v>271.43599999999998</v>
          </cell>
          <cell r="D3368" t="str">
            <v>Ambuehl_Davis_25</v>
          </cell>
        </row>
        <row r="3369">
          <cell r="B3369">
            <v>45686</v>
          </cell>
          <cell r="C3369">
            <v>207.46</v>
          </cell>
          <cell r="D3369" t="str">
            <v>Anderson_Hayden_25</v>
          </cell>
        </row>
        <row r="3370">
          <cell r="B3370">
            <v>45686</v>
          </cell>
          <cell r="C3370">
            <v>165.506</v>
          </cell>
          <cell r="D3370" t="str">
            <v>Anderson_Jordan_25</v>
          </cell>
        </row>
        <row r="3371">
          <cell r="B3371">
            <v>45686</v>
          </cell>
          <cell r="C3371">
            <v>285.53800000000001</v>
          </cell>
          <cell r="D3371" t="str">
            <v>Bailey_Miles_25</v>
          </cell>
        </row>
        <row r="3372">
          <cell r="B3372">
            <v>45686</v>
          </cell>
          <cell r="C3372">
            <v>218.52600000000001</v>
          </cell>
          <cell r="D3372" t="str">
            <v>Boeddeker_Hunter_25</v>
          </cell>
        </row>
        <row r="3373">
          <cell r="B3373">
            <v>45686</v>
          </cell>
          <cell r="C3373">
            <v>189.77199999999999</v>
          </cell>
          <cell r="D3373" t="str">
            <v>Borders_Curron_25</v>
          </cell>
        </row>
        <row r="3374">
          <cell r="B3374">
            <v>45686</v>
          </cell>
          <cell r="C3374">
            <v>162.91</v>
          </cell>
          <cell r="D3374" t="str">
            <v>Bryant_Ajon_25</v>
          </cell>
        </row>
        <row r="3375">
          <cell r="B3375">
            <v>45686</v>
          </cell>
          <cell r="C3375">
            <v>198.726</v>
          </cell>
          <cell r="D3375" t="str">
            <v>Butler_Dejuan_25</v>
          </cell>
        </row>
        <row r="3376">
          <cell r="B3376">
            <v>45686</v>
          </cell>
          <cell r="C3376">
            <v>241.82400000000001</v>
          </cell>
          <cell r="D3376" t="str">
            <v>Cashiola_Josh_25</v>
          </cell>
        </row>
        <row r="3377">
          <cell r="B3377">
            <v>45686</v>
          </cell>
          <cell r="C3377">
            <v>159.63200000000001</v>
          </cell>
          <cell r="D3377" t="str">
            <v>Conerly_Tim_25</v>
          </cell>
        </row>
        <row r="3378">
          <cell r="B3378">
            <v>45686</v>
          </cell>
          <cell r="C3378">
            <v>206.49199999999999</v>
          </cell>
          <cell r="D3378" t="str">
            <v>Emerson_Yebrell_25</v>
          </cell>
        </row>
        <row r="3379">
          <cell r="B3379">
            <v>45686</v>
          </cell>
          <cell r="C3379">
            <v>223.256</v>
          </cell>
          <cell r="D3379" t="str">
            <v>Eskridge_Matthew_25</v>
          </cell>
        </row>
        <row r="3380">
          <cell r="B3380">
            <v>45686</v>
          </cell>
          <cell r="C3380">
            <v>182.31399999999999</v>
          </cell>
          <cell r="D3380" t="str">
            <v>Firebaugh_Joseph_25</v>
          </cell>
        </row>
        <row r="3381">
          <cell r="B3381">
            <v>45686</v>
          </cell>
          <cell r="C3381">
            <v>171.77600000000001</v>
          </cell>
          <cell r="D3381" t="str">
            <v>Fresques_Jaxon_25</v>
          </cell>
        </row>
        <row r="3382">
          <cell r="B3382">
            <v>45686</v>
          </cell>
          <cell r="C3382">
            <v>293.50200000000001</v>
          </cell>
          <cell r="D3382" t="str">
            <v>Gretlein_Cade_25</v>
          </cell>
        </row>
        <row r="3383">
          <cell r="B3383">
            <v>45686</v>
          </cell>
          <cell r="C3383">
            <v>196.65799999999999</v>
          </cell>
          <cell r="D3383" t="str">
            <v>Hammond_Rodney_25</v>
          </cell>
        </row>
        <row r="3384">
          <cell r="B3384">
            <v>45686</v>
          </cell>
          <cell r="C3384">
            <v>212.21199999999999</v>
          </cell>
          <cell r="D3384" t="str">
            <v>Henderson_Damian_25</v>
          </cell>
        </row>
        <row r="3385">
          <cell r="B3385">
            <v>45686</v>
          </cell>
          <cell r="C3385">
            <v>195.11799999999999</v>
          </cell>
          <cell r="D3385" t="str">
            <v>Higgins_Kaleb_25</v>
          </cell>
        </row>
        <row r="3386">
          <cell r="B3386">
            <v>45686</v>
          </cell>
          <cell r="C3386">
            <v>228.51400000000001</v>
          </cell>
          <cell r="D3386" t="str">
            <v>Houston_Derek_25</v>
          </cell>
        </row>
        <row r="3387">
          <cell r="B3387">
            <v>45686</v>
          </cell>
          <cell r="C3387">
            <v>219.75800000000001</v>
          </cell>
          <cell r="D3387" t="str">
            <v>Johnston_Adam_25</v>
          </cell>
        </row>
        <row r="3388">
          <cell r="B3388">
            <v>45686</v>
          </cell>
          <cell r="C3388">
            <v>305.05200000000002</v>
          </cell>
          <cell r="D3388" t="str">
            <v>Kovacs_Giovanni_25</v>
          </cell>
        </row>
        <row r="3389">
          <cell r="B3389">
            <v>45686</v>
          </cell>
          <cell r="C3389">
            <v>164.78</v>
          </cell>
          <cell r="D3389" t="str">
            <v>Lands_Christopher_24</v>
          </cell>
        </row>
        <row r="3390">
          <cell r="B3390">
            <v>45686</v>
          </cell>
          <cell r="C3390">
            <v>334.55399999999997</v>
          </cell>
          <cell r="D3390" t="str">
            <v>May_Davis_25</v>
          </cell>
        </row>
        <row r="3391">
          <cell r="B3391">
            <v>45686</v>
          </cell>
          <cell r="C3391">
            <v>176.066</v>
          </cell>
          <cell r="D3391" t="str">
            <v>McDaniel_Damien_25</v>
          </cell>
        </row>
        <row r="3392">
          <cell r="B3392">
            <v>45686</v>
          </cell>
          <cell r="C3392">
            <v>180.774</v>
          </cell>
          <cell r="D3392" t="str">
            <v>McDowell_Connor_25</v>
          </cell>
        </row>
        <row r="3393">
          <cell r="B3393">
            <v>45686</v>
          </cell>
          <cell r="C3393">
            <v>280.19200000000001</v>
          </cell>
          <cell r="D3393" t="str">
            <v>McGlothen_Jayland_25</v>
          </cell>
        </row>
        <row r="3394">
          <cell r="B3394">
            <v>45686</v>
          </cell>
          <cell r="C3394">
            <v>194.21600000000001</v>
          </cell>
          <cell r="D3394" t="str">
            <v>McGough_Cal_25</v>
          </cell>
        </row>
        <row r="3395">
          <cell r="B3395">
            <v>45686</v>
          </cell>
          <cell r="C3395">
            <v>302.96199999999999</v>
          </cell>
          <cell r="D3395" t="str">
            <v>McKay_Richard_25</v>
          </cell>
        </row>
        <row r="3396">
          <cell r="B3396">
            <v>45686</v>
          </cell>
          <cell r="C3396">
            <v>191.642</v>
          </cell>
          <cell r="D3396" t="str">
            <v>McKenzie_Anta'Veon_25</v>
          </cell>
        </row>
        <row r="3397">
          <cell r="B3397">
            <v>45686</v>
          </cell>
          <cell r="C3397">
            <v>180.24600000000001</v>
          </cell>
          <cell r="D3397" t="str">
            <v>Meadors_Grant_25</v>
          </cell>
        </row>
        <row r="3398">
          <cell r="B3398">
            <v>45686</v>
          </cell>
          <cell r="C3398">
            <v>308.48399999999998</v>
          </cell>
          <cell r="D3398" t="str">
            <v>Meek_Aidan_25</v>
          </cell>
        </row>
        <row r="3399">
          <cell r="B3399">
            <v>45686</v>
          </cell>
          <cell r="C3399">
            <v>189.94800000000001</v>
          </cell>
          <cell r="D3399" t="str">
            <v>NA</v>
          </cell>
        </row>
        <row r="3400">
          <cell r="B3400">
            <v>45686</v>
          </cell>
          <cell r="C3400">
            <v>240.94399999999999</v>
          </cell>
          <cell r="D3400" t="str">
            <v>Nelson_Gavin_25</v>
          </cell>
        </row>
        <row r="3401">
          <cell r="B3401">
            <v>45686</v>
          </cell>
          <cell r="C3401">
            <v>280.41199999999998</v>
          </cell>
          <cell r="D3401" t="str">
            <v>Norris_Sammy_25</v>
          </cell>
        </row>
        <row r="3402">
          <cell r="B3402">
            <v>45686</v>
          </cell>
          <cell r="C3402">
            <v>173.38200000000001</v>
          </cell>
          <cell r="D3402" t="str">
            <v>Oliver_Jason_25</v>
          </cell>
        </row>
        <row r="3403">
          <cell r="B3403">
            <v>45686</v>
          </cell>
          <cell r="C3403">
            <v>305.75599999999997</v>
          </cell>
          <cell r="D3403" t="str">
            <v>Ortiz_Elijah_25</v>
          </cell>
        </row>
        <row r="3404">
          <cell r="B3404">
            <v>45686</v>
          </cell>
          <cell r="C3404">
            <v>226.952</v>
          </cell>
          <cell r="D3404" t="str">
            <v>Puloka_Fata_25</v>
          </cell>
        </row>
        <row r="3405">
          <cell r="B3405">
            <v>45686</v>
          </cell>
          <cell r="C3405">
            <v>216.21600000000001</v>
          </cell>
          <cell r="D3405" t="str">
            <v>Rocha_Alex_25</v>
          </cell>
        </row>
        <row r="3406">
          <cell r="B3406">
            <v>45686</v>
          </cell>
          <cell r="C3406">
            <v>270.02800000000002</v>
          </cell>
          <cell r="D3406" t="str">
            <v>Slater_Luke_25</v>
          </cell>
        </row>
        <row r="3407">
          <cell r="B3407">
            <v>45686</v>
          </cell>
          <cell r="C3407">
            <v>187.946</v>
          </cell>
          <cell r="D3407" t="str">
            <v>Smith_Onterrio_25</v>
          </cell>
        </row>
        <row r="3408">
          <cell r="B3408">
            <v>45686</v>
          </cell>
          <cell r="C3408">
            <v>185.52600000000001</v>
          </cell>
          <cell r="D3408" t="str">
            <v>Solis_Jojo_25</v>
          </cell>
        </row>
        <row r="3409">
          <cell r="B3409">
            <v>45686</v>
          </cell>
          <cell r="C3409">
            <v>310.39800000000002</v>
          </cell>
          <cell r="D3409" t="str">
            <v>Soto_Jose_25</v>
          </cell>
        </row>
        <row r="3410">
          <cell r="B3410">
            <v>45686</v>
          </cell>
          <cell r="C3410">
            <v>307.93400000000003</v>
          </cell>
          <cell r="D3410" t="str">
            <v>Sousa_Brandon_25</v>
          </cell>
        </row>
        <row r="3411">
          <cell r="B3411">
            <v>45686</v>
          </cell>
          <cell r="C3411">
            <v>305.822</v>
          </cell>
          <cell r="D3411" t="str">
            <v>Summers_Bryson_25</v>
          </cell>
        </row>
        <row r="3412">
          <cell r="B3412">
            <v>45686</v>
          </cell>
          <cell r="C3412">
            <v>276.18799999999999</v>
          </cell>
          <cell r="D3412" t="str">
            <v>Tagaloa_Brodie_25</v>
          </cell>
        </row>
        <row r="3413">
          <cell r="B3413">
            <v>45686</v>
          </cell>
          <cell r="C3413">
            <v>161.34800000000001</v>
          </cell>
          <cell r="D3413" t="str">
            <v>Taylor_Adam_25</v>
          </cell>
        </row>
        <row r="3414">
          <cell r="B3414">
            <v>45686</v>
          </cell>
          <cell r="C3414">
            <v>314.02800000000002</v>
          </cell>
          <cell r="D3414" t="str">
            <v>Watts_DeSean_25</v>
          </cell>
        </row>
        <row r="3415">
          <cell r="B3415">
            <v>45686</v>
          </cell>
          <cell r="C3415">
            <v>179.63</v>
          </cell>
          <cell r="D3415" t="str">
            <v>Williams_Cardell_25</v>
          </cell>
        </row>
        <row r="3416">
          <cell r="B3416">
            <v>45686</v>
          </cell>
          <cell r="C3416">
            <v>185.50399999999999</v>
          </cell>
          <cell r="D3416" t="str">
            <v>Williams_Jalen_25</v>
          </cell>
        </row>
        <row r="3417">
          <cell r="B3417">
            <v>45686</v>
          </cell>
          <cell r="C3417">
            <v>220.39599999999999</v>
          </cell>
          <cell r="D3417" t="str">
            <v>Williams_Jordan_25</v>
          </cell>
        </row>
        <row r="3418">
          <cell r="B3418">
            <v>45686</v>
          </cell>
          <cell r="C3418">
            <v>256.21199999999999</v>
          </cell>
          <cell r="D3418" t="str">
            <v>Williams_Xavier_25</v>
          </cell>
        </row>
        <row r="3419">
          <cell r="B3419">
            <v>45686</v>
          </cell>
          <cell r="C3419">
            <v>214.67599999999999</v>
          </cell>
          <cell r="D3419" t="str">
            <v>Wilson_Jace_25</v>
          </cell>
        </row>
        <row r="3420">
          <cell r="B3420">
            <v>45630</v>
          </cell>
          <cell r="C3420">
            <v>183.898</v>
          </cell>
          <cell r="D3420" t="str">
            <v>Akui_Koa_25</v>
          </cell>
        </row>
        <row r="3421">
          <cell r="B3421">
            <v>45630</v>
          </cell>
          <cell r="C3421">
            <v>216.392</v>
          </cell>
          <cell r="D3421" t="str">
            <v>Boeddeker_Hunter_25</v>
          </cell>
        </row>
        <row r="3422">
          <cell r="B3422">
            <v>45630</v>
          </cell>
          <cell r="C3422">
            <v>186.274</v>
          </cell>
          <cell r="D3422" t="str">
            <v>Borders_Curron_25</v>
          </cell>
        </row>
        <row r="3423">
          <cell r="B3423">
            <v>45630</v>
          </cell>
          <cell r="C3423">
            <v>164.97800000000001</v>
          </cell>
          <cell r="D3423" t="str">
            <v>Bryant_Ajon_25</v>
          </cell>
        </row>
        <row r="3424">
          <cell r="B3424">
            <v>45630</v>
          </cell>
          <cell r="C3424">
            <v>192.52199999999999</v>
          </cell>
          <cell r="D3424" t="str">
            <v>Butler_Dejuan_25</v>
          </cell>
        </row>
        <row r="3425">
          <cell r="B3425">
            <v>45630</v>
          </cell>
          <cell r="C3425">
            <v>203.36799999999999</v>
          </cell>
          <cell r="D3425" t="str">
            <v>Emerson_Yebrell_25</v>
          </cell>
        </row>
        <row r="3426">
          <cell r="B3426">
            <v>45630</v>
          </cell>
          <cell r="C3426">
            <v>222.86</v>
          </cell>
          <cell r="D3426" t="str">
            <v>Eskridge_Matthew_25</v>
          </cell>
        </row>
        <row r="3427">
          <cell r="B3427">
            <v>45630</v>
          </cell>
          <cell r="C3427">
            <v>291.52199999999999</v>
          </cell>
          <cell r="D3427" t="str">
            <v>Gretlein_Cade_25</v>
          </cell>
        </row>
        <row r="3428">
          <cell r="B3428">
            <v>45630</v>
          </cell>
          <cell r="C3428">
            <v>289.25599999999997</v>
          </cell>
          <cell r="D3428" t="str">
            <v>Hays_Sawyer_25</v>
          </cell>
        </row>
        <row r="3429">
          <cell r="B3429">
            <v>45630</v>
          </cell>
          <cell r="C3429">
            <v>191.88399999999999</v>
          </cell>
          <cell r="D3429" t="str">
            <v>Higgins_Kaleb_25</v>
          </cell>
        </row>
        <row r="3430">
          <cell r="B3430">
            <v>45630</v>
          </cell>
          <cell r="C3430">
            <v>226.886</v>
          </cell>
          <cell r="D3430" t="str">
            <v>Houston_Derek_25</v>
          </cell>
        </row>
        <row r="3431">
          <cell r="B3431">
            <v>45630</v>
          </cell>
          <cell r="C3431">
            <v>183.7</v>
          </cell>
          <cell r="D3431" t="str">
            <v>Johnson-Burrell_Lamont_25</v>
          </cell>
        </row>
        <row r="3432">
          <cell r="B3432">
            <v>45630</v>
          </cell>
          <cell r="C3432">
            <v>208.714</v>
          </cell>
          <cell r="D3432" t="str">
            <v>Johnston_Adam_25</v>
          </cell>
        </row>
        <row r="3433">
          <cell r="B3433">
            <v>45630</v>
          </cell>
          <cell r="C3433">
            <v>295.04199999999997</v>
          </cell>
          <cell r="D3433" t="str">
            <v>Kovacs_Giovanni_25</v>
          </cell>
        </row>
        <row r="3434">
          <cell r="B3434">
            <v>45630</v>
          </cell>
          <cell r="C3434">
            <v>341.81400000000002</v>
          </cell>
          <cell r="D3434" t="str">
            <v>May_Davis_25</v>
          </cell>
        </row>
        <row r="3435">
          <cell r="B3435">
            <v>45630</v>
          </cell>
          <cell r="C3435">
            <v>277.99200000000002</v>
          </cell>
          <cell r="D3435" t="str">
            <v>McGlothen_Jayland_25</v>
          </cell>
        </row>
        <row r="3436">
          <cell r="B3436">
            <v>45630</v>
          </cell>
          <cell r="C3436">
            <v>189.178</v>
          </cell>
          <cell r="D3436" t="str">
            <v>McGough_Cal_25</v>
          </cell>
        </row>
        <row r="3437">
          <cell r="B3437">
            <v>45630</v>
          </cell>
          <cell r="C3437">
            <v>302.214</v>
          </cell>
          <cell r="D3437" t="str">
            <v>McKay_Richard_25</v>
          </cell>
        </row>
        <row r="3438">
          <cell r="B3438">
            <v>45630</v>
          </cell>
          <cell r="C3438">
            <v>188.14400000000001</v>
          </cell>
          <cell r="D3438" t="str">
            <v>McKenzie_Anta'Veon_25</v>
          </cell>
        </row>
        <row r="3439">
          <cell r="B3439">
            <v>45630</v>
          </cell>
          <cell r="C3439">
            <v>299.24400000000003</v>
          </cell>
          <cell r="D3439" t="str">
            <v>Meek_Aidan_25</v>
          </cell>
        </row>
        <row r="3440">
          <cell r="B3440">
            <v>45630</v>
          </cell>
          <cell r="C3440">
            <v>171.512</v>
          </cell>
          <cell r="D3440" t="str">
            <v>Mullican_Elias_25</v>
          </cell>
        </row>
        <row r="3441">
          <cell r="B3441">
            <v>45630</v>
          </cell>
          <cell r="C3441">
            <v>191.57599999999999</v>
          </cell>
          <cell r="D3441" t="str">
            <v>NA</v>
          </cell>
        </row>
        <row r="3442">
          <cell r="B3442">
            <v>45630</v>
          </cell>
          <cell r="C3442">
            <v>173.07400000000001</v>
          </cell>
          <cell r="D3442" t="str">
            <v>Oliver_Jason_25</v>
          </cell>
        </row>
        <row r="3443">
          <cell r="B3443">
            <v>45630</v>
          </cell>
          <cell r="C3443">
            <v>306.262</v>
          </cell>
          <cell r="D3443" t="str">
            <v>Ortiz_Elijah_25</v>
          </cell>
        </row>
        <row r="3444">
          <cell r="B3444">
            <v>45630</v>
          </cell>
          <cell r="C3444">
            <v>225.28</v>
          </cell>
          <cell r="D3444" t="str">
            <v>Puloka_Fata_25</v>
          </cell>
        </row>
        <row r="3445">
          <cell r="B3445">
            <v>45630</v>
          </cell>
          <cell r="C3445">
            <v>211.816</v>
          </cell>
          <cell r="D3445" t="str">
            <v>Rocha_Alex_25</v>
          </cell>
        </row>
        <row r="3446">
          <cell r="B3446">
            <v>45630</v>
          </cell>
          <cell r="C3446">
            <v>261.02999999999997</v>
          </cell>
          <cell r="D3446" t="str">
            <v>Slater_Luke_25</v>
          </cell>
        </row>
        <row r="3447">
          <cell r="B3447">
            <v>45630</v>
          </cell>
          <cell r="C3447">
            <v>192.72</v>
          </cell>
          <cell r="D3447" t="str">
            <v>Smith_Onterrio_25</v>
          </cell>
        </row>
        <row r="3448">
          <cell r="B3448">
            <v>45630</v>
          </cell>
          <cell r="C3448">
            <v>304.81</v>
          </cell>
          <cell r="D3448" t="str">
            <v>Summers_Bryson_25</v>
          </cell>
        </row>
        <row r="3449">
          <cell r="B3449">
            <v>45630</v>
          </cell>
          <cell r="C3449">
            <v>159.91800000000001</v>
          </cell>
          <cell r="D3449" t="str">
            <v>Taylor_Adam_25</v>
          </cell>
        </row>
        <row r="3450">
          <cell r="B3450">
            <v>45630</v>
          </cell>
          <cell r="C3450">
            <v>189.04599999999999</v>
          </cell>
          <cell r="D3450" t="str">
            <v>Williams_Jalen_25</v>
          </cell>
        </row>
        <row r="3451">
          <cell r="B3451">
            <v>45630</v>
          </cell>
          <cell r="C3451">
            <v>263.97800000000001</v>
          </cell>
          <cell r="D3451" t="str">
            <v>Williams_Xavier_25</v>
          </cell>
        </row>
        <row r="3452">
          <cell r="B3452">
            <v>45498</v>
          </cell>
          <cell r="C3452">
            <v>227.48</v>
          </cell>
          <cell r="D3452" t="str">
            <v>Cashiola_Josh_25</v>
          </cell>
        </row>
        <row r="3453">
          <cell r="B3453">
            <v>45498</v>
          </cell>
          <cell r="C3453">
            <v>295.63600000000002</v>
          </cell>
          <cell r="D3453" t="str">
            <v>Gretlein_Cade_25</v>
          </cell>
        </row>
        <row r="3454">
          <cell r="B3454">
            <v>45498</v>
          </cell>
          <cell r="C3454">
            <v>284.65800000000002</v>
          </cell>
          <cell r="D3454" t="str">
            <v>Hays_Sawyer_25</v>
          </cell>
        </row>
        <row r="3455">
          <cell r="B3455">
            <v>45498</v>
          </cell>
          <cell r="C3455">
            <v>313.54399999999998</v>
          </cell>
          <cell r="D3455" t="str">
            <v>May_Davis_25</v>
          </cell>
        </row>
        <row r="3456">
          <cell r="B3456">
            <v>45498</v>
          </cell>
          <cell r="C3456">
            <v>297.17599999999999</v>
          </cell>
          <cell r="D3456" t="str">
            <v>McKay_Richard_25</v>
          </cell>
        </row>
        <row r="3457">
          <cell r="B3457">
            <v>45498</v>
          </cell>
          <cell r="C3457">
            <v>219.054</v>
          </cell>
          <cell r="D3457" t="str">
            <v>Puloka_Fata_25</v>
          </cell>
        </row>
        <row r="3458">
          <cell r="B3458">
            <v>45498</v>
          </cell>
          <cell r="C3458">
            <v>355.38799999999998</v>
          </cell>
          <cell r="D3458" t="str">
            <v>Riley_Kenndel_25</v>
          </cell>
        </row>
        <row r="3459">
          <cell r="B3459">
            <v>45498</v>
          </cell>
          <cell r="C3459">
            <v>303.38</v>
          </cell>
          <cell r="D3459" t="str">
            <v>Sousa_Brandon_25</v>
          </cell>
        </row>
        <row r="3460">
          <cell r="B3460">
            <v>45498</v>
          </cell>
          <cell r="C3460">
            <v>302.61</v>
          </cell>
          <cell r="D3460" t="str">
            <v>Summers_Bryson_25</v>
          </cell>
        </row>
        <row r="3461">
          <cell r="B3461">
            <v>45496</v>
          </cell>
          <cell r="C3461">
            <v>216.458</v>
          </cell>
          <cell r="D3461" t="str">
            <v>Boeddeker_Hunter_25</v>
          </cell>
        </row>
        <row r="3462">
          <cell r="B3462">
            <v>45496</v>
          </cell>
          <cell r="C3462">
            <v>177.91399999999999</v>
          </cell>
          <cell r="D3462" t="str">
            <v>Borders_Curron_25</v>
          </cell>
        </row>
        <row r="3463">
          <cell r="B3463">
            <v>45496</v>
          </cell>
          <cell r="C3463">
            <v>201.21199999999999</v>
          </cell>
          <cell r="D3463" t="str">
            <v>Butler_Dejuan_25</v>
          </cell>
        </row>
        <row r="3464">
          <cell r="B3464">
            <v>45496</v>
          </cell>
          <cell r="C3464">
            <v>231.99</v>
          </cell>
          <cell r="D3464" t="str">
            <v>Eskridge_Matthew_25</v>
          </cell>
        </row>
        <row r="3465">
          <cell r="B3465">
            <v>45496</v>
          </cell>
          <cell r="C3465">
            <v>223.78399999999999</v>
          </cell>
          <cell r="D3465" t="str">
            <v>Houston_Derek_25</v>
          </cell>
        </row>
        <row r="3466">
          <cell r="B3466">
            <v>45496</v>
          </cell>
          <cell r="C3466">
            <v>242.08799999999999</v>
          </cell>
          <cell r="D3466" t="str">
            <v>Nelson_Gavin_25</v>
          </cell>
        </row>
        <row r="3467">
          <cell r="B3467">
            <v>45495</v>
          </cell>
          <cell r="C3467">
            <v>190.71799999999999</v>
          </cell>
          <cell r="D3467" t="str">
            <v>Akui_Koa_25</v>
          </cell>
        </row>
        <row r="3468">
          <cell r="B3468">
            <v>45495</v>
          </cell>
          <cell r="C3468">
            <v>198.48400000000001</v>
          </cell>
          <cell r="D3468" t="str">
            <v>Emerson_Yebrell_25</v>
          </cell>
        </row>
        <row r="3469">
          <cell r="B3469">
            <v>45495</v>
          </cell>
          <cell r="C3469">
            <v>208.95599999999999</v>
          </cell>
          <cell r="D3469" t="str">
            <v>Higgins_Kaleb_25</v>
          </cell>
        </row>
        <row r="3470">
          <cell r="B3470">
            <v>45495</v>
          </cell>
          <cell r="C3470">
            <v>176.88</v>
          </cell>
          <cell r="D3470" t="str">
            <v>Johnson-Burrell_Lamont_25</v>
          </cell>
        </row>
        <row r="3471">
          <cell r="B3471">
            <v>45495</v>
          </cell>
          <cell r="C3471">
            <v>197.51599999999999</v>
          </cell>
          <cell r="D3471" t="str">
            <v>McKenzie_Anta'Veon_25</v>
          </cell>
        </row>
        <row r="3472">
          <cell r="B3472">
            <v>45495</v>
          </cell>
          <cell r="C3472">
            <v>169.09200000000001</v>
          </cell>
          <cell r="D3472" t="str">
            <v>Oliver_Jason_25</v>
          </cell>
        </row>
        <row r="3473">
          <cell r="B3473">
            <v>45495</v>
          </cell>
          <cell r="C3473">
            <v>191.73</v>
          </cell>
          <cell r="D3473" t="str">
            <v>Smith_Onterrio_25</v>
          </cell>
        </row>
        <row r="3474">
          <cell r="B3474">
            <v>45495</v>
          </cell>
          <cell r="C3474">
            <v>188.78200000000001</v>
          </cell>
          <cell r="D3474" t="str">
            <v>Williams_Jalen_25</v>
          </cell>
        </row>
        <row r="3475">
          <cell r="B3475">
            <v>45474</v>
          </cell>
          <cell r="C3475">
            <v>184.096</v>
          </cell>
          <cell r="D3475" t="str">
            <v>Akui_Koa_25</v>
          </cell>
        </row>
        <row r="3476">
          <cell r="B3476">
            <v>45474</v>
          </cell>
          <cell r="C3476">
            <v>216.458</v>
          </cell>
          <cell r="D3476" t="str">
            <v>Boeddeker_Hunter_25</v>
          </cell>
        </row>
        <row r="3477">
          <cell r="B3477">
            <v>45474</v>
          </cell>
          <cell r="C3477">
            <v>185.13</v>
          </cell>
          <cell r="D3477" t="str">
            <v>Borders_Curron_25</v>
          </cell>
        </row>
        <row r="3478">
          <cell r="B3478">
            <v>45474</v>
          </cell>
          <cell r="C3478">
            <v>209.26400000000001</v>
          </cell>
          <cell r="D3478" t="str">
            <v>Butler_Dejuan_25</v>
          </cell>
        </row>
        <row r="3479">
          <cell r="B3479">
            <v>45474</v>
          </cell>
          <cell r="C3479">
            <v>231.572</v>
          </cell>
          <cell r="D3479" t="str">
            <v>Cashiola_Josh_25</v>
          </cell>
        </row>
        <row r="3480">
          <cell r="B3480">
            <v>45474</v>
          </cell>
          <cell r="C3480">
            <v>200.97</v>
          </cell>
          <cell r="D3480" t="str">
            <v>Emerson_Yebrell_25</v>
          </cell>
        </row>
        <row r="3481">
          <cell r="B3481">
            <v>45474</v>
          </cell>
          <cell r="C3481">
            <v>226.358</v>
          </cell>
          <cell r="D3481" t="str">
            <v>Eskridge_Matthew_25</v>
          </cell>
        </row>
        <row r="3482">
          <cell r="B3482">
            <v>45474</v>
          </cell>
          <cell r="C3482">
            <v>297.19799999999998</v>
          </cell>
          <cell r="D3482" t="str">
            <v>Gretlein_Cade_25</v>
          </cell>
        </row>
        <row r="3483">
          <cell r="B3483">
            <v>45474</v>
          </cell>
          <cell r="C3483">
            <v>284.834</v>
          </cell>
          <cell r="D3483" t="str">
            <v>Hays_Sawyer_25</v>
          </cell>
        </row>
        <row r="3484">
          <cell r="B3484">
            <v>45474</v>
          </cell>
          <cell r="C3484">
            <v>225.61</v>
          </cell>
          <cell r="D3484" t="str">
            <v>Houston_Derek_25</v>
          </cell>
        </row>
        <row r="3485">
          <cell r="B3485">
            <v>45474</v>
          </cell>
          <cell r="C3485">
            <v>177.25399999999999</v>
          </cell>
          <cell r="D3485" t="str">
            <v>Johnson-Burrell_Lamont_25</v>
          </cell>
        </row>
        <row r="3486">
          <cell r="B3486">
            <v>45474</v>
          </cell>
          <cell r="C3486">
            <v>321.83800000000002</v>
          </cell>
          <cell r="D3486" t="str">
            <v>May_Davis_25</v>
          </cell>
        </row>
        <row r="3487">
          <cell r="B3487">
            <v>45474</v>
          </cell>
          <cell r="C3487">
            <v>290.07</v>
          </cell>
          <cell r="D3487" t="str">
            <v>McKay_Richard_25</v>
          </cell>
        </row>
        <row r="3488">
          <cell r="B3488">
            <v>45474</v>
          </cell>
          <cell r="C3488">
            <v>199.54</v>
          </cell>
          <cell r="D3488" t="str">
            <v>McKenzie_Anta'Veon_25</v>
          </cell>
        </row>
        <row r="3489">
          <cell r="B3489">
            <v>45474</v>
          </cell>
          <cell r="C3489">
            <v>301.13600000000002</v>
          </cell>
          <cell r="D3489" t="str">
            <v>Meek_Aidan_25</v>
          </cell>
        </row>
        <row r="3490">
          <cell r="B3490">
            <v>45474</v>
          </cell>
          <cell r="C3490">
            <v>165.74799999999999</v>
          </cell>
          <cell r="D3490" t="str">
            <v>Mullican_Elias_25</v>
          </cell>
        </row>
        <row r="3491">
          <cell r="B3491">
            <v>45474</v>
          </cell>
          <cell r="C3491">
            <v>172.26</v>
          </cell>
          <cell r="D3491" t="str">
            <v>Oliver_Jason_25</v>
          </cell>
        </row>
        <row r="3492">
          <cell r="B3492">
            <v>45474</v>
          </cell>
          <cell r="C3492">
            <v>224.774</v>
          </cell>
          <cell r="D3492" t="str">
            <v>Puloka_Fata_25</v>
          </cell>
        </row>
        <row r="3493">
          <cell r="B3493">
            <v>45474</v>
          </cell>
          <cell r="C3493">
            <v>358.226</v>
          </cell>
          <cell r="D3493" t="str">
            <v>Riley_Kenndel_25</v>
          </cell>
        </row>
        <row r="3494">
          <cell r="B3494">
            <v>45474</v>
          </cell>
          <cell r="C3494">
            <v>210.65</v>
          </cell>
          <cell r="D3494" t="str">
            <v>Rocha_Alex_25</v>
          </cell>
        </row>
        <row r="3495">
          <cell r="B3495">
            <v>45474</v>
          </cell>
          <cell r="C3495">
            <v>189.22200000000001</v>
          </cell>
          <cell r="D3495" t="str">
            <v>Smith_Onterrio_25</v>
          </cell>
        </row>
        <row r="3496">
          <cell r="B3496">
            <v>45474</v>
          </cell>
          <cell r="C3496">
            <v>303.84199999999998</v>
          </cell>
          <cell r="D3496" t="str">
            <v>Soto_Jose_25</v>
          </cell>
        </row>
        <row r="3497">
          <cell r="B3497">
            <v>45474</v>
          </cell>
          <cell r="C3497">
            <v>189.024</v>
          </cell>
          <cell r="D3497" t="str">
            <v>Williams_Jalen_25</v>
          </cell>
        </row>
        <row r="3498">
          <cell r="B3498">
            <v>45420</v>
          </cell>
          <cell r="C3498">
            <v>183.76599999999999</v>
          </cell>
          <cell r="D3498" t="str">
            <v>Akui_Koa_25</v>
          </cell>
        </row>
        <row r="3499">
          <cell r="B3499">
            <v>45420</v>
          </cell>
          <cell r="C3499">
            <v>217.38200000000001</v>
          </cell>
          <cell r="D3499" t="str">
            <v>Boeddeker_Hunter_25</v>
          </cell>
        </row>
        <row r="3500">
          <cell r="B3500">
            <v>45420</v>
          </cell>
          <cell r="C3500">
            <v>191.708</v>
          </cell>
          <cell r="D3500" t="str">
            <v>Borders_Curron_25</v>
          </cell>
        </row>
        <row r="3501">
          <cell r="B3501">
            <v>45420</v>
          </cell>
          <cell r="C3501">
            <v>227.63399999999999</v>
          </cell>
          <cell r="D3501" t="str">
            <v>Cashiola_Josh_25</v>
          </cell>
        </row>
        <row r="3502">
          <cell r="B3502">
            <v>45420</v>
          </cell>
          <cell r="C3502">
            <v>196.28399999999999</v>
          </cell>
          <cell r="D3502" t="str">
            <v>Emerson_Yebrell_25</v>
          </cell>
        </row>
        <row r="3503">
          <cell r="B3503">
            <v>45420</v>
          </cell>
          <cell r="C3503">
            <v>293.94200000000001</v>
          </cell>
          <cell r="D3503" t="str">
            <v>Gretlein_Cade_25</v>
          </cell>
        </row>
        <row r="3504">
          <cell r="B3504">
            <v>45420</v>
          </cell>
          <cell r="C3504">
            <v>285.82400000000001</v>
          </cell>
          <cell r="D3504" t="str">
            <v>Hays_Sawyer_25</v>
          </cell>
        </row>
        <row r="3505">
          <cell r="B3505">
            <v>45420</v>
          </cell>
          <cell r="C3505">
            <v>221.82599999999999</v>
          </cell>
          <cell r="D3505" t="str">
            <v>Houston_Derek_25</v>
          </cell>
        </row>
        <row r="3506">
          <cell r="B3506">
            <v>45420</v>
          </cell>
          <cell r="C3506">
            <v>179.87200000000001</v>
          </cell>
          <cell r="D3506" t="str">
            <v>Johnson-Burrell_Lamont_25</v>
          </cell>
        </row>
        <row r="3507">
          <cell r="B3507">
            <v>45420</v>
          </cell>
          <cell r="C3507">
            <v>322.85000000000002</v>
          </cell>
          <cell r="D3507" t="str">
            <v>May_Davis_25</v>
          </cell>
        </row>
        <row r="3508">
          <cell r="B3508">
            <v>45420</v>
          </cell>
          <cell r="C3508">
            <v>191.59800000000001</v>
          </cell>
          <cell r="D3508" t="str">
            <v>McGough_Cal_25</v>
          </cell>
        </row>
        <row r="3509">
          <cell r="B3509">
            <v>45420</v>
          </cell>
          <cell r="C3509">
            <v>193.798</v>
          </cell>
          <cell r="D3509" t="str">
            <v>McKenzie_Anta'Veon_25</v>
          </cell>
        </row>
        <row r="3510">
          <cell r="B3510">
            <v>45420</v>
          </cell>
          <cell r="C3510">
            <v>303.49</v>
          </cell>
          <cell r="D3510" t="str">
            <v>Meek_Aidan_25</v>
          </cell>
        </row>
        <row r="3511">
          <cell r="B3511">
            <v>45420</v>
          </cell>
          <cell r="C3511">
            <v>166.43</v>
          </cell>
          <cell r="D3511" t="str">
            <v>Mullican_Elias_25</v>
          </cell>
        </row>
        <row r="3512">
          <cell r="B3512">
            <v>45420</v>
          </cell>
          <cell r="C3512">
            <v>250.86600000000001</v>
          </cell>
          <cell r="D3512" t="str">
            <v>Nelson_Gavin_25</v>
          </cell>
        </row>
        <row r="3513">
          <cell r="B3513">
            <v>45420</v>
          </cell>
          <cell r="C3513">
            <v>165.70400000000001</v>
          </cell>
          <cell r="D3513" t="str">
            <v>Oliver_Jason_25</v>
          </cell>
        </row>
        <row r="3514">
          <cell r="B3514">
            <v>45420</v>
          </cell>
          <cell r="C3514">
            <v>219.054</v>
          </cell>
          <cell r="D3514" t="str">
            <v>Puloka_Fata_25</v>
          </cell>
        </row>
        <row r="3515">
          <cell r="B3515">
            <v>45420</v>
          </cell>
          <cell r="C3515">
            <v>212.27799999999999</v>
          </cell>
          <cell r="D3515" t="str">
            <v>Rocha_Alex_25</v>
          </cell>
        </row>
        <row r="3516">
          <cell r="B3516">
            <v>45420</v>
          </cell>
          <cell r="C3516">
            <v>182.27</v>
          </cell>
          <cell r="D3516" t="str">
            <v>Smith_Onterrio_25</v>
          </cell>
        </row>
        <row r="3517">
          <cell r="B3517">
            <v>45420</v>
          </cell>
          <cell r="C3517">
            <v>301.774</v>
          </cell>
          <cell r="D3517" t="str">
            <v>Soto_Jose_25</v>
          </cell>
        </row>
        <row r="3518">
          <cell r="B3518">
            <v>45420</v>
          </cell>
          <cell r="C3518">
            <v>299.2</v>
          </cell>
          <cell r="D3518" t="str">
            <v>Summers_Bryson_25</v>
          </cell>
        </row>
        <row r="3519">
          <cell r="B3519">
            <v>45420</v>
          </cell>
          <cell r="C3519">
            <v>269.10399999999998</v>
          </cell>
          <cell r="D3519" t="str">
            <v>Williams_Xavier_25</v>
          </cell>
        </row>
        <row r="3520">
          <cell r="B3520">
            <v>45371</v>
          </cell>
          <cell r="C3520">
            <v>284.2</v>
          </cell>
          <cell r="D3520" t="str">
            <v>Abdullah_Dean_25</v>
          </cell>
        </row>
        <row r="3521">
          <cell r="B3521">
            <v>45371</v>
          </cell>
          <cell r="C3521">
            <v>188.4</v>
          </cell>
          <cell r="D3521" t="str">
            <v>Akui_Koa_25</v>
          </cell>
        </row>
        <row r="3522">
          <cell r="B3522">
            <v>45371</v>
          </cell>
          <cell r="C3522">
            <v>260.2</v>
          </cell>
          <cell r="D3522" t="str">
            <v>Ambuehl_Davis_25</v>
          </cell>
        </row>
        <row r="3523">
          <cell r="B3523">
            <v>45371</v>
          </cell>
          <cell r="C3523">
            <v>205.6</v>
          </cell>
          <cell r="D3523" t="str">
            <v>Anderson_Hayden_25</v>
          </cell>
        </row>
        <row r="3524">
          <cell r="B3524">
            <v>45371</v>
          </cell>
          <cell r="C3524">
            <v>168.8</v>
          </cell>
          <cell r="D3524" t="str">
            <v>Anderson_Jordan_25</v>
          </cell>
        </row>
        <row r="3525">
          <cell r="B3525">
            <v>45371</v>
          </cell>
          <cell r="C3525">
            <v>282.39999999999998</v>
          </cell>
          <cell r="D3525" t="str">
            <v>Bailey_Miles_25</v>
          </cell>
        </row>
        <row r="3526">
          <cell r="B3526">
            <v>45371</v>
          </cell>
          <cell r="C3526">
            <v>219.6</v>
          </cell>
          <cell r="D3526" t="str">
            <v>Boeddeker_Hunter_25</v>
          </cell>
        </row>
        <row r="3527">
          <cell r="B3527">
            <v>45371</v>
          </cell>
          <cell r="C3527">
            <v>161.80000000000001</v>
          </cell>
          <cell r="D3527" t="str">
            <v>Bryant_Ajon_25</v>
          </cell>
        </row>
        <row r="3528">
          <cell r="B3528">
            <v>45371</v>
          </cell>
          <cell r="C3528">
            <v>234.8</v>
          </cell>
          <cell r="D3528" t="str">
            <v>Cashiola_Josh_25</v>
          </cell>
        </row>
        <row r="3529">
          <cell r="B3529">
            <v>45371</v>
          </cell>
          <cell r="C3529">
            <v>156.80000000000001</v>
          </cell>
          <cell r="D3529" t="str">
            <v>Conerly_Tim_25</v>
          </cell>
        </row>
        <row r="3530">
          <cell r="B3530">
            <v>45371</v>
          </cell>
          <cell r="C3530">
            <v>171</v>
          </cell>
          <cell r="D3530" t="str">
            <v>Curtis_Jamar_25</v>
          </cell>
        </row>
        <row r="3531">
          <cell r="B3531">
            <v>45371</v>
          </cell>
          <cell r="C3531">
            <v>232</v>
          </cell>
          <cell r="D3531" t="str">
            <v>Davis_Diego_25</v>
          </cell>
        </row>
        <row r="3532">
          <cell r="B3532">
            <v>45371</v>
          </cell>
          <cell r="C3532">
            <v>203.6</v>
          </cell>
          <cell r="D3532" t="str">
            <v>Emerson_Yebrell_25</v>
          </cell>
        </row>
        <row r="3533">
          <cell r="B3533">
            <v>45371</v>
          </cell>
          <cell r="C3533">
            <v>225.2</v>
          </cell>
          <cell r="D3533" t="str">
            <v>Eskridge_Matthew_25</v>
          </cell>
        </row>
        <row r="3534">
          <cell r="B3534">
            <v>45371</v>
          </cell>
          <cell r="C3534">
            <v>184.8</v>
          </cell>
          <cell r="D3534" t="str">
            <v>Firebaugh_Joseph_25</v>
          </cell>
        </row>
        <row r="3535">
          <cell r="B3535">
            <v>45371</v>
          </cell>
          <cell r="C3535">
            <v>173</v>
          </cell>
          <cell r="D3535" t="str">
            <v>Fresques_Jaxon_25</v>
          </cell>
        </row>
        <row r="3536">
          <cell r="B3536">
            <v>45371</v>
          </cell>
          <cell r="C3536">
            <v>296</v>
          </cell>
          <cell r="D3536" t="str">
            <v>Gretlein_Cade_25</v>
          </cell>
        </row>
        <row r="3537">
          <cell r="B3537">
            <v>45371</v>
          </cell>
          <cell r="C3537">
            <v>197.2</v>
          </cell>
          <cell r="D3537" t="str">
            <v>Hammond_Rodney_25</v>
          </cell>
        </row>
        <row r="3538">
          <cell r="B3538">
            <v>45371</v>
          </cell>
          <cell r="C3538">
            <v>292.8</v>
          </cell>
          <cell r="D3538" t="str">
            <v>Hays_Sawyer_25</v>
          </cell>
        </row>
        <row r="3539">
          <cell r="B3539">
            <v>45371</v>
          </cell>
          <cell r="C3539">
            <v>211.4</v>
          </cell>
          <cell r="D3539" t="str">
            <v>Henderson_Damian_25</v>
          </cell>
        </row>
        <row r="3540">
          <cell r="B3540">
            <v>45371</v>
          </cell>
          <cell r="C3540">
            <v>189.6</v>
          </cell>
          <cell r="D3540" t="str">
            <v>Higgins_Kaleb_25</v>
          </cell>
        </row>
        <row r="3541">
          <cell r="B3541">
            <v>45371</v>
          </cell>
          <cell r="C3541">
            <v>228.8</v>
          </cell>
          <cell r="D3541" t="str">
            <v>Houston_Derek_25</v>
          </cell>
        </row>
        <row r="3542">
          <cell r="B3542">
            <v>45371</v>
          </cell>
          <cell r="C3542">
            <v>210.6</v>
          </cell>
          <cell r="D3542" t="str">
            <v>Huddle_Elijah_25</v>
          </cell>
        </row>
        <row r="3543">
          <cell r="B3543">
            <v>45371</v>
          </cell>
          <cell r="C3543">
            <v>188.8</v>
          </cell>
          <cell r="D3543" t="str">
            <v>Johnson-Burrell_Lamont_25</v>
          </cell>
        </row>
        <row r="3544">
          <cell r="B3544">
            <v>45371</v>
          </cell>
          <cell r="C3544">
            <v>212</v>
          </cell>
          <cell r="D3544" t="str">
            <v>Johnston_Adam_25</v>
          </cell>
        </row>
        <row r="3545">
          <cell r="B3545">
            <v>45371</v>
          </cell>
          <cell r="C3545">
            <v>295.8</v>
          </cell>
          <cell r="D3545" t="str">
            <v>Kovacs_Giovanni_25</v>
          </cell>
        </row>
        <row r="3546">
          <cell r="B3546">
            <v>45371</v>
          </cell>
          <cell r="C3546">
            <v>165</v>
          </cell>
          <cell r="D3546" t="str">
            <v>Lee_Ricky_25</v>
          </cell>
        </row>
        <row r="3547">
          <cell r="B3547">
            <v>45371</v>
          </cell>
          <cell r="C3547">
            <v>335.2</v>
          </cell>
          <cell r="D3547" t="str">
            <v>May_Davis_25</v>
          </cell>
        </row>
        <row r="3548">
          <cell r="B3548">
            <v>45371</v>
          </cell>
          <cell r="C3548">
            <v>178.2</v>
          </cell>
          <cell r="D3548" t="str">
            <v>McDaniel_Damien_25</v>
          </cell>
        </row>
        <row r="3549">
          <cell r="B3549">
            <v>45371</v>
          </cell>
          <cell r="C3549">
            <v>183.8</v>
          </cell>
          <cell r="D3549" t="str">
            <v>McDowell_Connor_25</v>
          </cell>
        </row>
        <row r="3550">
          <cell r="B3550">
            <v>45371</v>
          </cell>
          <cell r="C3550">
            <v>279</v>
          </cell>
          <cell r="D3550" t="str">
            <v>McGlothen_Jayland_25</v>
          </cell>
        </row>
        <row r="3551">
          <cell r="B3551">
            <v>45371</v>
          </cell>
          <cell r="C3551">
            <v>193.2</v>
          </cell>
          <cell r="D3551" t="str">
            <v>McGough_Cal_25</v>
          </cell>
        </row>
        <row r="3552">
          <cell r="B3552">
            <v>45371</v>
          </cell>
          <cell r="C3552">
            <v>285.8</v>
          </cell>
          <cell r="D3552" t="str">
            <v>McKay_Richard_25</v>
          </cell>
        </row>
        <row r="3553">
          <cell r="B3553">
            <v>45371</v>
          </cell>
          <cell r="C3553">
            <v>193.8</v>
          </cell>
          <cell r="D3553" t="str">
            <v>McKenzie_Anta'Veon_25</v>
          </cell>
        </row>
        <row r="3554">
          <cell r="B3554">
            <v>45371</v>
          </cell>
          <cell r="C3554">
            <v>183</v>
          </cell>
          <cell r="D3554" t="str">
            <v>Meadors_Grant_25</v>
          </cell>
        </row>
        <row r="3555">
          <cell r="B3555">
            <v>45371</v>
          </cell>
          <cell r="C3555">
            <v>295.8</v>
          </cell>
          <cell r="D3555" t="str">
            <v>Meek_Aidan_25</v>
          </cell>
        </row>
        <row r="3556">
          <cell r="B3556">
            <v>45371</v>
          </cell>
          <cell r="C3556">
            <v>191.2</v>
          </cell>
          <cell r="D3556" t="str">
            <v>Melanson_Mike_25</v>
          </cell>
        </row>
        <row r="3557">
          <cell r="B3557">
            <v>45371</v>
          </cell>
          <cell r="C3557">
            <v>171.6</v>
          </cell>
          <cell r="D3557" t="str">
            <v>Mullican_Elias_25</v>
          </cell>
        </row>
        <row r="3558">
          <cell r="B3558">
            <v>45371</v>
          </cell>
          <cell r="C3558">
            <v>189.4</v>
          </cell>
          <cell r="D3558" t="str">
            <v>NA</v>
          </cell>
        </row>
        <row r="3559">
          <cell r="B3559">
            <v>45371</v>
          </cell>
          <cell r="C3559">
            <v>235.8</v>
          </cell>
          <cell r="D3559" t="str">
            <v>Nelson_Gavin_25</v>
          </cell>
        </row>
        <row r="3560">
          <cell r="B3560">
            <v>45371</v>
          </cell>
          <cell r="C3560">
            <v>271.60000000000002</v>
          </cell>
          <cell r="D3560" t="str">
            <v>Norris_Sammy_25</v>
          </cell>
        </row>
        <row r="3561">
          <cell r="B3561">
            <v>45371</v>
          </cell>
          <cell r="C3561">
            <v>171.4</v>
          </cell>
          <cell r="D3561" t="str">
            <v>Oliver_Jason_25</v>
          </cell>
        </row>
        <row r="3562">
          <cell r="B3562">
            <v>45371</v>
          </cell>
          <cell r="C3562">
            <v>308.2</v>
          </cell>
          <cell r="D3562" t="str">
            <v>Ortiz_Elijah_25</v>
          </cell>
        </row>
        <row r="3563">
          <cell r="B3563">
            <v>45371</v>
          </cell>
          <cell r="C3563">
            <v>226</v>
          </cell>
          <cell r="D3563" t="str">
            <v>Puloka_Fata_25</v>
          </cell>
        </row>
        <row r="3564">
          <cell r="B3564">
            <v>45371</v>
          </cell>
          <cell r="C3564">
            <v>327</v>
          </cell>
          <cell r="D3564" t="str">
            <v>Riley_Kenndel_25</v>
          </cell>
        </row>
        <row r="3565">
          <cell r="B3565">
            <v>45371</v>
          </cell>
          <cell r="C3565">
            <v>216.6</v>
          </cell>
          <cell r="D3565" t="str">
            <v>Rocha_Alex_25</v>
          </cell>
        </row>
        <row r="3566">
          <cell r="B3566">
            <v>45371</v>
          </cell>
          <cell r="C3566">
            <v>254.4</v>
          </cell>
          <cell r="D3566" t="str">
            <v>Scott_Brennon_25</v>
          </cell>
        </row>
        <row r="3567">
          <cell r="B3567">
            <v>45371</v>
          </cell>
          <cell r="C3567">
            <v>265.8</v>
          </cell>
          <cell r="D3567" t="str">
            <v>Slater_Luke_25</v>
          </cell>
        </row>
        <row r="3568">
          <cell r="B3568">
            <v>45371</v>
          </cell>
          <cell r="C3568">
            <v>187.6</v>
          </cell>
          <cell r="D3568" t="str">
            <v>Smith_Onterrio_25</v>
          </cell>
        </row>
        <row r="3569">
          <cell r="B3569">
            <v>45371</v>
          </cell>
          <cell r="C3569">
            <v>185.6</v>
          </cell>
          <cell r="D3569" t="str">
            <v>Solis_Jojo_25</v>
          </cell>
        </row>
        <row r="3570">
          <cell r="B3570">
            <v>45371</v>
          </cell>
          <cell r="C3570">
            <v>308</v>
          </cell>
          <cell r="D3570" t="str">
            <v>Soto_Jose_25</v>
          </cell>
        </row>
        <row r="3571">
          <cell r="B3571">
            <v>45371</v>
          </cell>
          <cell r="C3571">
            <v>300.39999999999998</v>
          </cell>
          <cell r="D3571" t="str">
            <v>Sousa_Brandon_25</v>
          </cell>
        </row>
        <row r="3572">
          <cell r="B3572">
            <v>45371</v>
          </cell>
          <cell r="C3572">
            <v>287.39999999999998</v>
          </cell>
          <cell r="D3572" t="str">
            <v>Speno_Joseph_25</v>
          </cell>
        </row>
        <row r="3573">
          <cell r="B3573">
            <v>45371</v>
          </cell>
          <cell r="C3573">
            <v>308.39999999999998</v>
          </cell>
          <cell r="D3573" t="str">
            <v>Summers_Bryson_25</v>
          </cell>
        </row>
        <row r="3574">
          <cell r="B3574">
            <v>45371</v>
          </cell>
          <cell r="C3574">
            <v>276</v>
          </cell>
          <cell r="D3574" t="str">
            <v>Tagaloa_Brodie_25</v>
          </cell>
        </row>
        <row r="3575">
          <cell r="B3575">
            <v>45371</v>
          </cell>
          <cell r="C3575">
            <v>233.6</v>
          </cell>
          <cell r="D3575" t="str">
            <v>Tanner_Logan_25</v>
          </cell>
        </row>
        <row r="3576">
          <cell r="B3576">
            <v>45371</v>
          </cell>
          <cell r="C3576">
            <v>161.6</v>
          </cell>
          <cell r="D3576" t="str">
            <v>Taylor_Adam_25</v>
          </cell>
        </row>
        <row r="3577">
          <cell r="B3577">
            <v>45371</v>
          </cell>
          <cell r="C3577">
            <v>236</v>
          </cell>
          <cell r="D3577" t="str">
            <v>Vi_Pita_25</v>
          </cell>
        </row>
        <row r="3578">
          <cell r="B3578">
            <v>45371</v>
          </cell>
          <cell r="C3578">
            <v>179.4</v>
          </cell>
          <cell r="D3578" t="str">
            <v>Williams_Cardell_25</v>
          </cell>
        </row>
        <row r="3579">
          <cell r="B3579">
            <v>45371</v>
          </cell>
          <cell r="C3579">
            <v>189.4</v>
          </cell>
          <cell r="D3579" t="str">
            <v>Williams_Jalen_25</v>
          </cell>
        </row>
        <row r="3580">
          <cell r="B3580">
            <v>45371</v>
          </cell>
          <cell r="C3580">
            <v>220.8</v>
          </cell>
          <cell r="D3580" t="str">
            <v>Williams_Jordan_25</v>
          </cell>
        </row>
        <row r="3581">
          <cell r="B3581">
            <v>45371</v>
          </cell>
          <cell r="C3581">
            <v>253.6</v>
          </cell>
          <cell r="D3581" t="str">
            <v>Williams_Xavier_25</v>
          </cell>
        </row>
        <row r="3582">
          <cell r="B3582">
            <v>45371</v>
          </cell>
          <cell r="C3582">
            <v>214.4</v>
          </cell>
          <cell r="D3582" t="str">
            <v>Wilson_Jace_25</v>
          </cell>
        </row>
        <row r="3583">
          <cell r="B3583">
            <v>45360</v>
          </cell>
          <cell r="C3583">
            <v>180.81800000000001</v>
          </cell>
          <cell r="D3583" t="str">
            <v>Akui_Koa_25</v>
          </cell>
        </row>
        <row r="3584">
          <cell r="B3584">
            <v>45360</v>
          </cell>
          <cell r="C3584">
            <v>214.61</v>
          </cell>
          <cell r="D3584" t="str">
            <v>Boeddeker_Hunter_25</v>
          </cell>
        </row>
        <row r="3585">
          <cell r="B3585">
            <v>45360</v>
          </cell>
          <cell r="C3585">
            <v>230.09800000000001</v>
          </cell>
          <cell r="D3585" t="str">
            <v>Cashiola_Josh_25</v>
          </cell>
        </row>
        <row r="3586">
          <cell r="B3586">
            <v>45360</v>
          </cell>
          <cell r="C3586">
            <v>199.958</v>
          </cell>
          <cell r="D3586" t="str">
            <v>Emerson_Yebrell_25</v>
          </cell>
        </row>
        <row r="3587">
          <cell r="B3587">
            <v>45360</v>
          </cell>
          <cell r="C3587">
            <v>200.04599999999999</v>
          </cell>
          <cell r="D3587" t="str">
            <v>Higgins_Kaleb_25</v>
          </cell>
        </row>
        <row r="3588">
          <cell r="B3588">
            <v>45360</v>
          </cell>
          <cell r="C3588">
            <v>180.37799999999999</v>
          </cell>
          <cell r="D3588" t="str">
            <v>Johnson-Burrell_Lamont_25</v>
          </cell>
        </row>
        <row r="3589">
          <cell r="B3589">
            <v>45360</v>
          </cell>
          <cell r="C3589">
            <v>193.11600000000001</v>
          </cell>
          <cell r="D3589" t="str">
            <v>McKenzie_Anta'Veon_25</v>
          </cell>
        </row>
        <row r="3590">
          <cell r="B3590">
            <v>45360</v>
          </cell>
          <cell r="C3590">
            <v>170.98400000000001</v>
          </cell>
          <cell r="D3590" t="str">
            <v>Oliver_Jason_25</v>
          </cell>
        </row>
        <row r="3591">
          <cell r="B3591">
            <v>45360</v>
          </cell>
          <cell r="C3591">
            <v>221.91399999999999</v>
          </cell>
          <cell r="D3591" t="str">
            <v>Puloka_Fata_25</v>
          </cell>
        </row>
        <row r="3592">
          <cell r="B3592">
            <v>45360</v>
          </cell>
          <cell r="C3592">
            <v>269.17</v>
          </cell>
          <cell r="D3592" t="str">
            <v>Williams_Xavier_25</v>
          </cell>
        </row>
        <row r="3593">
          <cell r="B3593">
            <v>45357</v>
          </cell>
          <cell r="C3593">
            <v>289.74</v>
          </cell>
          <cell r="D3593" t="str">
            <v>Gretlein_Cade_25</v>
          </cell>
        </row>
        <row r="3594">
          <cell r="B3594">
            <v>45357</v>
          </cell>
          <cell r="C3594">
            <v>308.63799999999998</v>
          </cell>
          <cell r="D3594" t="str">
            <v>May_Davis_25</v>
          </cell>
        </row>
        <row r="3595">
          <cell r="B3595">
            <v>45357</v>
          </cell>
          <cell r="C3595">
            <v>191.02600000000001</v>
          </cell>
          <cell r="D3595" t="str">
            <v>McGough_Cal_25</v>
          </cell>
        </row>
        <row r="3596">
          <cell r="B3596">
            <v>45357</v>
          </cell>
          <cell r="C3596">
            <v>306.08600000000001</v>
          </cell>
          <cell r="D3596" t="str">
            <v>McKay_Richard_25</v>
          </cell>
        </row>
        <row r="3597">
          <cell r="B3597">
            <v>45357</v>
          </cell>
          <cell r="C3597">
            <v>304.21600000000001</v>
          </cell>
          <cell r="D3597" t="str">
            <v>Meek_Aidan_25</v>
          </cell>
        </row>
        <row r="3598">
          <cell r="B3598">
            <v>45357</v>
          </cell>
          <cell r="C3598">
            <v>249.76599999999999</v>
          </cell>
          <cell r="D3598" t="str">
            <v>Nelson_Gavin_25</v>
          </cell>
        </row>
        <row r="3599">
          <cell r="B3599">
            <v>45357</v>
          </cell>
          <cell r="C3599">
            <v>367.24599999999998</v>
          </cell>
          <cell r="D3599" t="str">
            <v>Riley_Kenndel_25</v>
          </cell>
        </row>
        <row r="3600">
          <cell r="B3600">
            <v>45357</v>
          </cell>
          <cell r="C3600">
            <v>299.68400000000003</v>
          </cell>
          <cell r="D3600" t="str">
            <v>Soto_Jose_25</v>
          </cell>
        </row>
        <row r="3601">
          <cell r="B3601">
            <v>45357</v>
          </cell>
          <cell r="C3601">
            <v>301.83999999999997</v>
          </cell>
          <cell r="D3601" t="str">
            <v>Sousa_Brandon_25</v>
          </cell>
        </row>
        <row r="3602">
          <cell r="B3602">
            <v>45357</v>
          </cell>
          <cell r="C3602">
            <v>299.22199999999998</v>
          </cell>
          <cell r="D3602" t="str">
            <v>Summers_Bryson_25</v>
          </cell>
        </row>
        <row r="3603">
          <cell r="B3603">
            <v>45318</v>
          </cell>
          <cell r="C3603">
            <v>180.95</v>
          </cell>
          <cell r="D3603" t="str">
            <v>Akui_Koa_25</v>
          </cell>
        </row>
        <row r="3604">
          <cell r="B3604">
            <v>45318</v>
          </cell>
          <cell r="C3604">
            <v>219.274</v>
          </cell>
          <cell r="D3604" t="str">
            <v>Boeddeker_Hunter_25</v>
          </cell>
        </row>
        <row r="3605">
          <cell r="B3605">
            <v>45318</v>
          </cell>
          <cell r="C3605">
            <v>196.922</v>
          </cell>
          <cell r="D3605" t="str">
            <v>Higgins_Kaleb_25</v>
          </cell>
        </row>
        <row r="3606">
          <cell r="B3606">
            <v>45318</v>
          </cell>
          <cell r="C3606">
            <v>228.73400000000001</v>
          </cell>
          <cell r="D3606" t="str">
            <v>Houston_Derek_25</v>
          </cell>
        </row>
        <row r="3607">
          <cell r="B3607">
            <v>45318</v>
          </cell>
          <cell r="C3607">
            <v>195.93199999999999</v>
          </cell>
          <cell r="D3607" t="str">
            <v>McKenzie_Anta'Veon_25</v>
          </cell>
        </row>
        <row r="3608">
          <cell r="B3608">
            <v>45318</v>
          </cell>
          <cell r="C3608">
            <v>165.792</v>
          </cell>
          <cell r="D3608" t="str">
            <v>Mullican_Elias_25</v>
          </cell>
        </row>
        <row r="3609">
          <cell r="B3609">
            <v>45318</v>
          </cell>
          <cell r="C3609">
            <v>175.648</v>
          </cell>
          <cell r="D3609" t="str">
            <v>Oliver_Jason_25</v>
          </cell>
        </row>
        <row r="3610">
          <cell r="B3610">
            <v>45318</v>
          </cell>
          <cell r="C3610">
            <v>214.566</v>
          </cell>
          <cell r="D3610" t="str">
            <v>Rocha_Alex_25</v>
          </cell>
        </row>
        <row r="3611">
          <cell r="B3611">
            <v>45318</v>
          </cell>
          <cell r="C3611">
            <v>276.38600000000002</v>
          </cell>
          <cell r="D3611" t="str">
            <v>Williams_Xavier_25</v>
          </cell>
        </row>
        <row r="3612">
          <cell r="B3612">
            <v>45315</v>
          </cell>
          <cell r="C3612">
            <v>198.83600000000001</v>
          </cell>
          <cell r="D3612" t="str">
            <v>Borders_Curron_25</v>
          </cell>
        </row>
        <row r="3613">
          <cell r="B3613">
            <v>45315</v>
          </cell>
          <cell r="C3613">
            <v>223.85</v>
          </cell>
          <cell r="D3613" t="str">
            <v>Cashiola_Josh_25</v>
          </cell>
        </row>
        <row r="3614">
          <cell r="B3614">
            <v>45315</v>
          </cell>
          <cell r="C3614">
            <v>191.57599999999999</v>
          </cell>
          <cell r="D3614" t="str">
            <v>McGough_Cal_25</v>
          </cell>
        </row>
        <row r="3615">
          <cell r="B3615">
            <v>45315</v>
          </cell>
          <cell r="C3615">
            <v>242.63800000000001</v>
          </cell>
          <cell r="D3615" t="str">
            <v>Nelson_Gavin_25</v>
          </cell>
        </row>
        <row r="3616">
          <cell r="B3616">
            <v>45315</v>
          </cell>
          <cell r="C3616">
            <v>183.744</v>
          </cell>
          <cell r="D3616" t="str">
            <v>Smith_Onterrio_25</v>
          </cell>
        </row>
        <row r="3617">
          <cell r="B3617">
            <v>45315</v>
          </cell>
          <cell r="C3617">
            <v>301.09199999999998</v>
          </cell>
          <cell r="D3617" t="str">
            <v>Soto_Jose_25</v>
          </cell>
        </row>
        <row r="3618">
          <cell r="B3618">
            <v>45315</v>
          </cell>
          <cell r="C3618">
            <v>296.86799999999999</v>
          </cell>
          <cell r="D3618" t="str">
            <v>Sousa_Brandon_25</v>
          </cell>
        </row>
        <row r="3619">
          <cell r="B3619">
            <v>45315</v>
          </cell>
          <cell r="C3619">
            <v>305.25</v>
          </cell>
          <cell r="D3619" t="str">
            <v>Summers_Bryson_25</v>
          </cell>
        </row>
      </sheetData>
      <sheetData sheetId="4">
        <row r="3">
          <cell r="AH3" t="str">
            <v>Abdullah_Dean_25</v>
          </cell>
          <cell r="AQ3">
            <v>390</v>
          </cell>
        </row>
        <row r="4">
          <cell r="AH4" t="str">
            <v>Adams_Sam_25</v>
          </cell>
          <cell r="AQ4">
            <v>300</v>
          </cell>
        </row>
        <row r="5">
          <cell r="AH5" t="str">
            <v>Akui_Koa_25</v>
          </cell>
          <cell r="AQ5">
            <v>285</v>
          </cell>
        </row>
        <row r="6">
          <cell r="AH6" t="str">
            <v>Ambuehl_Davis_25</v>
          </cell>
          <cell r="AQ6">
            <v>340</v>
          </cell>
        </row>
        <row r="7">
          <cell r="AH7" t="str">
            <v>Anderson_Hayden_25</v>
          </cell>
          <cell r="AQ7">
            <v>250</v>
          </cell>
        </row>
        <row r="8">
          <cell r="AH8" t="str">
            <v>Anderson_Jordan_25</v>
          </cell>
          <cell r="AQ8">
            <v>200</v>
          </cell>
        </row>
        <row r="9">
          <cell r="AH9" t="str">
            <v>Bailey_Miles_25</v>
          </cell>
          <cell r="AQ9">
            <v>320</v>
          </cell>
        </row>
        <row r="10">
          <cell r="AH10" t="str">
            <v>Bass_Trey_25</v>
          </cell>
          <cell r="AQ10">
            <v>300</v>
          </cell>
        </row>
        <row r="11">
          <cell r="AH11" t="str">
            <v>Boeddeker_Hunter_25</v>
          </cell>
          <cell r="AQ11">
            <v>330</v>
          </cell>
        </row>
        <row r="12">
          <cell r="AH12" t="str">
            <v>Borders_Curron_25</v>
          </cell>
          <cell r="AQ12">
            <v>335</v>
          </cell>
        </row>
        <row r="13">
          <cell r="AH13" t="str">
            <v>Brown_Elias_25</v>
          </cell>
          <cell r="AQ13">
            <v>355</v>
          </cell>
        </row>
        <row r="14">
          <cell r="AH14" t="str">
            <v>Bryant_Ajon_25</v>
          </cell>
          <cell r="AQ14">
            <v>265</v>
          </cell>
        </row>
        <row r="15">
          <cell r="AH15" t="str">
            <v>Butler_Dejuan_25</v>
          </cell>
          <cell r="AQ15">
            <v>240</v>
          </cell>
        </row>
        <row r="16">
          <cell r="AH16" t="str">
            <v>Cahoon_Jackson_25</v>
          </cell>
          <cell r="AQ16">
            <v>310</v>
          </cell>
        </row>
        <row r="17">
          <cell r="AH17" t="str">
            <v>Campbell_Ernest_25</v>
          </cell>
          <cell r="AQ17">
            <v>195</v>
          </cell>
        </row>
        <row r="18">
          <cell r="AH18" t="str">
            <v>Cashiola_Josh_25</v>
          </cell>
          <cell r="AQ18">
            <v>265</v>
          </cell>
        </row>
        <row r="19">
          <cell r="AH19" t="str">
            <v>Chouteau_Lono_25</v>
          </cell>
          <cell r="AQ19">
            <v>145</v>
          </cell>
        </row>
        <row r="20">
          <cell r="AH20" t="str">
            <v>Conerly_Tim_25</v>
          </cell>
          <cell r="AQ20">
            <v>245</v>
          </cell>
        </row>
        <row r="21">
          <cell r="AH21" t="str">
            <v>Curtis_Jamar_25</v>
          </cell>
          <cell r="AQ21">
            <v>325</v>
          </cell>
        </row>
        <row r="22">
          <cell r="AH22" t="str">
            <v>Davis_Diego_25</v>
          </cell>
          <cell r="AQ22">
            <v>370</v>
          </cell>
        </row>
        <row r="23">
          <cell r="AH23" t="str">
            <v>Emerson_Yebrell_25</v>
          </cell>
          <cell r="AQ23">
            <v>335</v>
          </cell>
        </row>
        <row r="24">
          <cell r="AH24" t="str">
            <v>Eskridge_Matthew_25</v>
          </cell>
          <cell r="AQ24">
            <v>375</v>
          </cell>
        </row>
        <row r="25">
          <cell r="AH25" t="str">
            <v>Fernandez_Tre_25</v>
          </cell>
          <cell r="AQ25">
            <v>240</v>
          </cell>
        </row>
        <row r="26">
          <cell r="AH26" t="str">
            <v>Firebaugh_Joseph_25</v>
          </cell>
          <cell r="AQ26">
            <v>230</v>
          </cell>
        </row>
        <row r="27">
          <cell r="AH27" t="str">
            <v>Fresques_Jaxon_25</v>
          </cell>
          <cell r="AQ27">
            <v>275</v>
          </cell>
        </row>
        <row r="28">
          <cell r="AH28" t="str">
            <v>Garner_Drey_25</v>
          </cell>
          <cell r="AQ28">
            <v>280</v>
          </cell>
        </row>
        <row r="29">
          <cell r="AH29" t="str">
            <v>Gillespie_James_25</v>
          </cell>
          <cell r="AQ29">
            <v>325</v>
          </cell>
        </row>
        <row r="30">
          <cell r="AH30" t="str">
            <v>Gooden_Dylan_25</v>
          </cell>
          <cell r="AQ30">
            <v>250</v>
          </cell>
        </row>
        <row r="31">
          <cell r="AH31" t="str">
            <v>Gordon_Diesel_25</v>
          </cell>
          <cell r="AQ31">
            <v>290</v>
          </cell>
        </row>
        <row r="32">
          <cell r="AH32" t="str">
            <v>Gretlein_Cade_25</v>
          </cell>
          <cell r="AQ32">
            <v>360</v>
          </cell>
        </row>
        <row r="33">
          <cell r="AH33" t="str">
            <v>Hall_Agiye_25</v>
          </cell>
          <cell r="AQ33">
            <v>240</v>
          </cell>
        </row>
        <row r="34">
          <cell r="AH34" t="str">
            <v>Hammond_Rodney_25</v>
          </cell>
          <cell r="AQ34">
            <v>270</v>
          </cell>
        </row>
        <row r="35">
          <cell r="AH35" t="str">
            <v>Hampsten_Dylan_25</v>
          </cell>
          <cell r="AQ35">
            <v>305</v>
          </cell>
        </row>
        <row r="36">
          <cell r="AH36" t="str">
            <v>Hays_Sawyer_25</v>
          </cell>
          <cell r="AQ36">
            <v>350</v>
          </cell>
        </row>
        <row r="37">
          <cell r="AH37" t="str">
            <v>Henderson_Damian_25</v>
          </cell>
          <cell r="AQ37">
            <v>225</v>
          </cell>
        </row>
        <row r="38">
          <cell r="AH38" t="str">
            <v>Herman_Jordan_25</v>
          </cell>
          <cell r="AQ38">
            <v>280</v>
          </cell>
        </row>
        <row r="39">
          <cell r="AH39" t="str">
            <v>Higgins_Kaleb_25</v>
          </cell>
          <cell r="AQ39">
            <v>255</v>
          </cell>
        </row>
        <row r="40">
          <cell r="AH40" t="str">
            <v>Hood_Jamal_25</v>
          </cell>
          <cell r="AQ40">
            <v>250</v>
          </cell>
        </row>
        <row r="41">
          <cell r="AH41" t="str">
            <v>Houston_Derek_25</v>
          </cell>
          <cell r="AQ41">
            <v>355</v>
          </cell>
        </row>
        <row r="42">
          <cell r="AH42" t="str">
            <v>Huddle_Elijah_25</v>
          </cell>
          <cell r="AQ42">
            <v>255</v>
          </cell>
        </row>
        <row r="43">
          <cell r="AH43" t="str">
            <v>Jefferson_Jordan_25</v>
          </cell>
          <cell r="AQ43">
            <v>370</v>
          </cell>
        </row>
        <row r="44">
          <cell r="AH44" t="str">
            <v>Jefferson_KJ_25</v>
          </cell>
          <cell r="AQ44">
            <v>290</v>
          </cell>
        </row>
        <row r="45">
          <cell r="AH45" t="str">
            <v>Johnson-Burrell_Lamont_25</v>
          </cell>
          <cell r="AQ45">
            <v>260</v>
          </cell>
        </row>
        <row r="46">
          <cell r="AH46" t="str">
            <v>Johnston_Adam_25</v>
          </cell>
          <cell r="AQ46">
            <v>280</v>
          </cell>
        </row>
        <row r="47">
          <cell r="AH47" t="str">
            <v>Jones_Jekob_25</v>
          </cell>
          <cell r="AQ47">
            <v>335</v>
          </cell>
        </row>
        <row r="48">
          <cell r="AH48" t="str">
            <v>Kindle_Malachi_25</v>
          </cell>
          <cell r="AQ48">
            <v>350</v>
          </cell>
        </row>
        <row r="49">
          <cell r="AH49" t="str">
            <v>Kovacs_Giovanni_25</v>
          </cell>
          <cell r="AQ49">
            <v>320</v>
          </cell>
        </row>
        <row r="50">
          <cell r="AH50" t="str">
            <v>Lee_Graysen_25</v>
          </cell>
          <cell r="AQ50" t="str">
            <v>-</v>
          </cell>
        </row>
        <row r="51">
          <cell r="AH51" t="str">
            <v>Lee_Ricky_25</v>
          </cell>
          <cell r="AQ51">
            <v>250</v>
          </cell>
        </row>
        <row r="52">
          <cell r="AH52" t="str">
            <v>Malone_Jamar_25</v>
          </cell>
          <cell r="AQ52">
            <v>300</v>
          </cell>
        </row>
        <row r="53">
          <cell r="AH53" t="str">
            <v>Massey_Syncere_25</v>
          </cell>
          <cell r="AQ53">
            <v>325</v>
          </cell>
        </row>
        <row r="54">
          <cell r="AH54" t="str">
            <v>May_Davis_25</v>
          </cell>
          <cell r="AQ54">
            <v>385</v>
          </cell>
        </row>
        <row r="55">
          <cell r="AH55" t="str">
            <v>McDaniel_Damien_25</v>
          </cell>
          <cell r="AQ55">
            <v>215</v>
          </cell>
        </row>
        <row r="56">
          <cell r="AH56" t="str">
            <v>McDowell_Connor_25</v>
          </cell>
          <cell r="AQ56">
            <v>245</v>
          </cell>
        </row>
        <row r="57">
          <cell r="AH57" t="str">
            <v>McGlothen_Jayland_25</v>
          </cell>
          <cell r="AQ57">
            <v>395</v>
          </cell>
        </row>
        <row r="58">
          <cell r="AH58" t="str">
            <v>McGough_Cal_25</v>
          </cell>
          <cell r="AQ58" t="str">
            <v/>
          </cell>
        </row>
        <row r="59">
          <cell r="AH59" t="str">
            <v>McKay_Richard_25</v>
          </cell>
          <cell r="AQ59">
            <v>325</v>
          </cell>
        </row>
        <row r="60">
          <cell r="AH60" t="str">
            <v>McKenzie_Anta'Veon_25</v>
          </cell>
          <cell r="AQ60">
            <v>285</v>
          </cell>
        </row>
        <row r="61">
          <cell r="AH61" t="str">
            <v>Meadors_Grant_25</v>
          </cell>
          <cell r="AQ61">
            <v>230</v>
          </cell>
        </row>
        <row r="62">
          <cell r="AH62" t="str">
            <v>Meek_Aidan_25</v>
          </cell>
          <cell r="AQ62">
            <v>365</v>
          </cell>
        </row>
        <row r="63">
          <cell r="AH63" t="str">
            <v>Melanson_Mike_25</v>
          </cell>
          <cell r="AQ63">
            <v>235</v>
          </cell>
        </row>
        <row r="64">
          <cell r="AH64" t="str">
            <v>Mitchell_Naytel_25</v>
          </cell>
          <cell r="AQ64">
            <v>320</v>
          </cell>
        </row>
        <row r="65">
          <cell r="AH65" t="str">
            <v>Moore_Jaxon_25</v>
          </cell>
          <cell r="AQ65">
            <v>320</v>
          </cell>
        </row>
        <row r="66">
          <cell r="AH66" t="str">
            <v>Moore_Oscar_25</v>
          </cell>
          <cell r="AQ66">
            <v>300</v>
          </cell>
        </row>
        <row r="67">
          <cell r="AH67" t="str">
            <v>Mosley_Micah_25</v>
          </cell>
          <cell r="AQ67">
            <v>335</v>
          </cell>
        </row>
        <row r="68">
          <cell r="AH68" t="str">
            <v>Mullican_Elias_25</v>
          </cell>
          <cell r="AQ68">
            <v>265</v>
          </cell>
        </row>
        <row r="69">
          <cell r="AH69" t="str">
            <v>Nelson_Gavin_25</v>
          </cell>
          <cell r="AQ69">
            <v>335</v>
          </cell>
        </row>
        <row r="70">
          <cell r="AH70" t="str">
            <v>Nickens_Tye_25</v>
          </cell>
          <cell r="AQ70">
            <v>245</v>
          </cell>
        </row>
        <row r="71">
          <cell r="AH71" t="str">
            <v>Norris_Sammy_25</v>
          </cell>
          <cell r="AQ71">
            <v>345</v>
          </cell>
        </row>
        <row r="72">
          <cell r="AH72" t="str">
            <v>Oliver_Jason_25</v>
          </cell>
          <cell r="AQ72">
            <v>275</v>
          </cell>
        </row>
        <row r="73">
          <cell r="AH73" t="str">
            <v>Ortiz_Elijah_25</v>
          </cell>
          <cell r="AQ73">
            <v>320</v>
          </cell>
        </row>
        <row r="74">
          <cell r="AH74" t="str">
            <v>Puloka_Fata_25</v>
          </cell>
          <cell r="AQ74">
            <v>275</v>
          </cell>
        </row>
        <row r="75">
          <cell r="AH75" t="str">
            <v>Rashada_Jaden_25</v>
          </cell>
          <cell r="AQ75">
            <v>215</v>
          </cell>
        </row>
        <row r="76">
          <cell r="AH76" t="str">
            <v>Red_Savion_25</v>
          </cell>
          <cell r="AQ76">
            <v>300</v>
          </cell>
        </row>
        <row r="77">
          <cell r="AH77" t="str">
            <v>Reese_Caleb_25</v>
          </cell>
          <cell r="AQ77">
            <v>245</v>
          </cell>
        </row>
        <row r="78">
          <cell r="AH78" t="str">
            <v>Riley_Kenndel_25</v>
          </cell>
          <cell r="AQ78">
            <v>330</v>
          </cell>
        </row>
        <row r="79">
          <cell r="AH79" t="str">
            <v>Robinson_Dontae_25</v>
          </cell>
          <cell r="AQ79">
            <v>255</v>
          </cell>
        </row>
        <row r="80">
          <cell r="AH80" t="str">
            <v>Robinson_Jayden_25</v>
          </cell>
          <cell r="AQ80">
            <v>210</v>
          </cell>
        </row>
        <row r="81">
          <cell r="AH81" t="str">
            <v>Rocha_Alex_25</v>
          </cell>
          <cell r="AQ81">
            <v>290</v>
          </cell>
        </row>
        <row r="82">
          <cell r="AH82" t="str">
            <v>Ross_Kris_25</v>
          </cell>
          <cell r="AQ82">
            <v>295</v>
          </cell>
        </row>
        <row r="83">
          <cell r="AH83" t="str">
            <v>Scott_Brennon_25</v>
          </cell>
          <cell r="AQ83">
            <v>280</v>
          </cell>
        </row>
        <row r="84">
          <cell r="AH84" t="str">
            <v>Sheffield_DeAnthony_25</v>
          </cell>
          <cell r="AQ84">
            <v>330</v>
          </cell>
        </row>
        <row r="85">
          <cell r="AH85" t="str">
            <v>Slater_Luke_25</v>
          </cell>
          <cell r="AQ85">
            <v>340</v>
          </cell>
        </row>
        <row r="86">
          <cell r="AH86" t="str">
            <v>Smith_Jaquail_25</v>
          </cell>
          <cell r="AQ86">
            <v>250</v>
          </cell>
        </row>
        <row r="87">
          <cell r="AH87" t="str">
            <v>Smith_Onterrio_25</v>
          </cell>
          <cell r="AQ87">
            <v>250</v>
          </cell>
        </row>
        <row r="88">
          <cell r="AH88" t="str">
            <v>Smith_Warren_25</v>
          </cell>
          <cell r="AQ88">
            <v>285</v>
          </cell>
        </row>
        <row r="89">
          <cell r="AH89" t="str">
            <v>Solis_Jojo_25</v>
          </cell>
          <cell r="AQ89">
            <v>265</v>
          </cell>
        </row>
        <row r="90">
          <cell r="AH90" t="str">
            <v>Soto_Jose_25</v>
          </cell>
          <cell r="AQ90">
            <v>420</v>
          </cell>
        </row>
        <row r="91">
          <cell r="AH91" t="str">
            <v>Sousa_Brandon_25</v>
          </cell>
          <cell r="AQ91">
            <v>475</v>
          </cell>
        </row>
        <row r="92">
          <cell r="AH92" t="str">
            <v>Speno_Joseph_25</v>
          </cell>
          <cell r="AQ92">
            <v>320</v>
          </cell>
        </row>
        <row r="93">
          <cell r="AH93" t="str">
            <v>Stallworth_Jeremiah_25</v>
          </cell>
          <cell r="AQ93">
            <v>230</v>
          </cell>
        </row>
        <row r="94">
          <cell r="AH94" t="str">
            <v>Summers_Bryson_25</v>
          </cell>
          <cell r="AQ94">
            <v>315</v>
          </cell>
        </row>
        <row r="95">
          <cell r="AH95" t="str">
            <v>Susini_Max_25</v>
          </cell>
          <cell r="AQ95">
            <v>255</v>
          </cell>
        </row>
        <row r="96">
          <cell r="AH96" t="str">
            <v>Swindle_Melvin_25</v>
          </cell>
          <cell r="AQ96">
            <v>340</v>
          </cell>
        </row>
        <row r="97">
          <cell r="AH97" t="str">
            <v>Tagaloa_Brodie_25</v>
          </cell>
          <cell r="AQ97">
            <v>305</v>
          </cell>
        </row>
        <row r="98">
          <cell r="AH98" t="str">
            <v>Tanner_Logan_25</v>
          </cell>
          <cell r="AQ98">
            <v>410</v>
          </cell>
        </row>
        <row r="99">
          <cell r="AH99" t="str">
            <v>Taylor_Adam_25</v>
          </cell>
          <cell r="AQ99">
            <v>245</v>
          </cell>
        </row>
        <row r="100">
          <cell r="AH100" t="str">
            <v>Taylor_Mike_25</v>
          </cell>
          <cell r="AQ100">
            <v>245</v>
          </cell>
        </row>
        <row r="101">
          <cell r="AH101" t="str">
            <v>Tenney_Bear_25</v>
          </cell>
          <cell r="AQ101">
            <v>300</v>
          </cell>
        </row>
        <row r="102">
          <cell r="AH102" t="str">
            <v>Thomson_Gavin_25</v>
          </cell>
          <cell r="AQ102">
            <v>285</v>
          </cell>
        </row>
        <row r="103">
          <cell r="AH103" t="str">
            <v>Tullis_Malik_25</v>
          </cell>
          <cell r="AQ103">
            <v>365</v>
          </cell>
        </row>
        <row r="104">
          <cell r="AH104" t="str">
            <v>Vi_Pita_25</v>
          </cell>
          <cell r="AQ104">
            <v>355</v>
          </cell>
        </row>
        <row r="105">
          <cell r="AH105" t="str">
            <v>Watts_DeSean_25</v>
          </cell>
          <cell r="AQ105">
            <v>370</v>
          </cell>
        </row>
        <row r="106">
          <cell r="AH106" t="str">
            <v>Williams_Cardell_25</v>
          </cell>
          <cell r="AQ106">
            <v>225</v>
          </cell>
        </row>
        <row r="107">
          <cell r="AH107" t="str">
            <v>Williams_Jalen_25</v>
          </cell>
          <cell r="AQ107">
            <v>265</v>
          </cell>
        </row>
        <row r="108">
          <cell r="AH108" t="str">
            <v>Williams_Jordan_25</v>
          </cell>
          <cell r="AQ108">
            <v>295</v>
          </cell>
        </row>
        <row r="109">
          <cell r="AH109" t="str">
            <v>Williams_Xavier_25</v>
          </cell>
          <cell r="AQ109">
            <v>375</v>
          </cell>
        </row>
        <row r="110">
          <cell r="AH110" t="str">
            <v>Wilson_Jace_25</v>
          </cell>
          <cell r="AQ110">
            <v>270</v>
          </cell>
        </row>
        <row r="111">
          <cell r="AH111" t="str">
            <v>Wright_Deven_25</v>
          </cell>
          <cell r="AQ111">
            <v>320</v>
          </cell>
        </row>
        <row r="112">
          <cell r="AH112" t="str">
            <v>Johnson_Michael_25</v>
          </cell>
          <cell r="AQ112" t="str">
            <v>TBD</v>
          </cell>
        </row>
      </sheetData>
      <sheetData sheetId="5">
        <row r="3">
          <cell r="AG3" t="str">
            <v>Gillespie_James_25</v>
          </cell>
          <cell r="AP3" t="str">
            <v>TBDL</v>
          </cell>
        </row>
        <row r="4">
          <cell r="AG4" t="str">
            <v>Herman_Jordan_25</v>
          </cell>
          <cell r="AP4" t="str">
            <v>TBDL</v>
          </cell>
        </row>
        <row r="5">
          <cell r="AG5" t="str">
            <v>Lee_Graysen_25</v>
          </cell>
          <cell r="AP5" t="str">
            <v>Not Cleared</v>
          </cell>
        </row>
        <row r="6">
          <cell r="AG6" t="str">
            <v>Massey_Syncere_25</v>
          </cell>
          <cell r="AP6" t="str">
            <v>New</v>
          </cell>
        </row>
        <row r="7">
          <cell r="AG7" t="str">
            <v>Malone_Jamar_25</v>
          </cell>
          <cell r="AP7" t="str">
            <v>-</v>
          </cell>
        </row>
        <row r="8">
          <cell r="AG8" t="str">
            <v>Rashada_Jaden_25</v>
          </cell>
          <cell r="AP8" t="str">
            <v>-</v>
          </cell>
        </row>
        <row r="9">
          <cell r="AG9" t="str">
            <v>Borders_Curron_25</v>
          </cell>
          <cell r="AP9" t="str">
            <v>-</v>
          </cell>
        </row>
        <row r="10">
          <cell r="AG10" t="str">
            <v>Tenney_Bear_25</v>
          </cell>
          <cell r="AP10" t="str">
            <v>-</v>
          </cell>
        </row>
        <row r="11">
          <cell r="AG11" t="str">
            <v>Williams_Xavier_25</v>
          </cell>
          <cell r="AP11">
            <v>615</v>
          </cell>
        </row>
        <row r="12">
          <cell r="AG12" t="str">
            <v>Tullis_Malik_25</v>
          </cell>
          <cell r="AP12">
            <v>605</v>
          </cell>
        </row>
        <row r="13">
          <cell r="AG13" t="str">
            <v>Gretlein_Cade_25</v>
          </cell>
          <cell r="AP13">
            <v>605</v>
          </cell>
        </row>
        <row r="14">
          <cell r="AG14" t="str">
            <v>Soto_Jose_25</v>
          </cell>
          <cell r="AP14">
            <v>590</v>
          </cell>
        </row>
        <row r="15">
          <cell r="AG15" t="str">
            <v>Slater_Luke_25</v>
          </cell>
          <cell r="AP15">
            <v>565</v>
          </cell>
        </row>
        <row r="16">
          <cell r="AG16" t="str">
            <v>Ortiz_Elijah_25</v>
          </cell>
          <cell r="AP16">
            <v>545</v>
          </cell>
        </row>
        <row r="17">
          <cell r="AG17" t="str">
            <v>Riley_Kenndel_25</v>
          </cell>
          <cell r="AP17">
            <v>545</v>
          </cell>
        </row>
        <row r="18">
          <cell r="AG18" t="str">
            <v>Abdullah_Dean_25</v>
          </cell>
          <cell r="AP18">
            <v>530</v>
          </cell>
        </row>
        <row r="19">
          <cell r="AG19" t="str">
            <v>Sousa_Brandon_25</v>
          </cell>
          <cell r="AP19">
            <v>530</v>
          </cell>
        </row>
        <row r="20">
          <cell r="AG20" t="str">
            <v>Swindle_Melvin_25</v>
          </cell>
          <cell r="AP20">
            <v>525</v>
          </cell>
        </row>
        <row r="21">
          <cell r="AG21" t="str">
            <v>Speno_Joseph_25</v>
          </cell>
          <cell r="AP21">
            <v>515</v>
          </cell>
        </row>
        <row r="22">
          <cell r="AG22" t="str">
            <v>Houston_Derek_25</v>
          </cell>
          <cell r="AP22">
            <v>510</v>
          </cell>
        </row>
        <row r="23">
          <cell r="AG23" t="str">
            <v>Eskridge_Matthew_25</v>
          </cell>
          <cell r="AP23">
            <v>510</v>
          </cell>
        </row>
        <row r="24">
          <cell r="AG24" t="str">
            <v>Norris_Sammy_25</v>
          </cell>
          <cell r="AP24">
            <v>510</v>
          </cell>
        </row>
        <row r="25">
          <cell r="AG25" t="str">
            <v>Watts_DeSean_25</v>
          </cell>
          <cell r="AP25">
            <v>510</v>
          </cell>
        </row>
        <row r="26">
          <cell r="AG26" t="str">
            <v>Emerson_Yebrell_25</v>
          </cell>
          <cell r="AP26">
            <v>505</v>
          </cell>
        </row>
        <row r="27">
          <cell r="AG27" t="str">
            <v>Davis_Diego_25</v>
          </cell>
          <cell r="AP27">
            <v>505</v>
          </cell>
        </row>
        <row r="28">
          <cell r="AG28" t="str">
            <v>McGlothen_Jayland_25</v>
          </cell>
          <cell r="AP28">
            <v>505</v>
          </cell>
        </row>
        <row r="29">
          <cell r="AG29" t="str">
            <v>Kovacs_Giovanni_25</v>
          </cell>
          <cell r="AP29">
            <v>505</v>
          </cell>
        </row>
        <row r="30">
          <cell r="AG30" t="str">
            <v>Red_Savion_25</v>
          </cell>
          <cell r="AP30">
            <v>500</v>
          </cell>
        </row>
        <row r="31">
          <cell r="AG31" t="str">
            <v>Butler_Dejuan_25</v>
          </cell>
          <cell r="AP31">
            <v>490</v>
          </cell>
        </row>
        <row r="32">
          <cell r="AG32" t="str">
            <v>Hays_Sawyer_25</v>
          </cell>
          <cell r="AP32">
            <v>490</v>
          </cell>
        </row>
        <row r="33">
          <cell r="AG33" t="str">
            <v>Vi_Pita_25</v>
          </cell>
          <cell r="AP33">
            <v>485</v>
          </cell>
        </row>
        <row r="34">
          <cell r="AG34" t="str">
            <v>Meek_Aidan_25</v>
          </cell>
          <cell r="AP34">
            <v>485</v>
          </cell>
        </row>
        <row r="35">
          <cell r="AG35" t="str">
            <v>May_Davis_25</v>
          </cell>
          <cell r="AP35">
            <v>485</v>
          </cell>
        </row>
        <row r="36">
          <cell r="AG36" t="str">
            <v>Nelson_Gavin_25</v>
          </cell>
          <cell r="AP36">
            <v>480</v>
          </cell>
        </row>
        <row r="37">
          <cell r="AG37" t="str">
            <v>Hampsten_Dylan_25</v>
          </cell>
          <cell r="AP37">
            <v>480</v>
          </cell>
        </row>
        <row r="38">
          <cell r="AG38" t="str">
            <v>Summers_Bryson_25</v>
          </cell>
          <cell r="AP38">
            <v>480</v>
          </cell>
        </row>
        <row r="39">
          <cell r="AG39" t="str">
            <v>Curtis_Jamar_25</v>
          </cell>
          <cell r="AP39">
            <v>470</v>
          </cell>
        </row>
        <row r="40">
          <cell r="AG40" t="str">
            <v>Hammond_Rodney_25</v>
          </cell>
          <cell r="AP40">
            <v>470</v>
          </cell>
        </row>
        <row r="41">
          <cell r="AG41" t="str">
            <v>Brown_Elias_25</v>
          </cell>
          <cell r="AP41">
            <v>465</v>
          </cell>
        </row>
        <row r="42">
          <cell r="AG42" t="str">
            <v>Akui_Koa_25</v>
          </cell>
          <cell r="AP42">
            <v>460</v>
          </cell>
        </row>
        <row r="43">
          <cell r="AG43" t="str">
            <v>Jefferson_KJ_25</v>
          </cell>
          <cell r="AP43">
            <v>460</v>
          </cell>
        </row>
        <row r="44">
          <cell r="AG44" t="str">
            <v>Tanner_Logan_25</v>
          </cell>
          <cell r="AP44">
            <v>460</v>
          </cell>
        </row>
        <row r="45">
          <cell r="AG45" t="str">
            <v>Adams_Sam_25</v>
          </cell>
          <cell r="AP45">
            <v>450</v>
          </cell>
        </row>
        <row r="46">
          <cell r="AG46" t="str">
            <v>Cashiola_Josh_25</v>
          </cell>
          <cell r="AP46">
            <v>450</v>
          </cell>
        </row>
        <row r="47">
          <cell r="AG47" t="str">
            <v>Bailey_Miles_25</v>
          </cell>
          <cell r="AP47">
            <v>450</v>
          </cell>
        </row>
        <row r="48">
          <cell r="AG48" t="str">
            <v>Kindle_Malachi_25</v>
          </cell>
          <cell r="AP48">
            <v>450</v>
          </cell>
        </row>
        <row r="49">
          <cell r="AG49" t="str">
            <v>Tagaloa_Brodie_25</v>
          </cell>
          <cell r="AP49">
            <v>440</v>
          </cell>
        </row>
        <row r="50">
          <cell r="AG50" t="str">
            <v>Williams_Jalen_25</v>
          </cell>
          <cell r="AP50">
            <v>435</v>
          </cell>
        </row>
        <row r="51">
          <cell r="AG51" t="str">
            <v>Huddle_Elijah_25</v>
          </cell>
          <cell r="AP51">
            <v>435</v>
          </cell>
        </row>
        <row r="52">
          <cell r="AG52" t="str">
            <v>Scott_Brennon_25</v>
          </cell>
          <cell r="AP52">
            <v>435</v>
          </cell>
        </row>
        <row r="53">
          <cell r="AG53" t="str">
            <v>Ambuehl_Davis_25</v>
          </cell>
          <cell r="AP53">
            <v>435</v>
          </cell>
        </row>
        <row r="54">
          <cell r="AG54" t="str">
            <v>McKay_Richard_25</v>
          </cell>
          <cell r="AP54">
            <v>435</v>
          </cell>
        </row>
        <row r="55">
          <cell r="AG55" t="str">
            <v>Solis_Jojo_25</v>
          </cell>
          <cell r="AP55">
            <v>420</v>
          </cell>
        </row>
        <row r="56">
          <cell r="AG56" t="str">
            <v>Boeddeker_Hunter_25</v>
          </cell>
          <cell r="AP56">
            <v>420</v>
          </cell>
        </row>
        <row r="57">
          <cell r="AG57" t="str">
            <v>Sheffield_DeAnthony_25</v>
          </cell>
          <cell r="AP57">
            <v>420</v>
          </cell>
        </row>
        <row r="58">
          <cell r="AG58" t="str">
            <v>Ross_Kris_25</v>
          </cell>
          <cell r="AP58">
            <v>415</v>
          </cell>
        </row>
        <row r="59">
          <cell r="AG59" t="str">
            <v>Wright_Deven_25</v>
          </cell>
          <cell r="AP59">
            <v>410</v>
          </cell>
        </row>
        <row r="60">
          <cell r="AG60" t="str">
            <v>Williams_Jordan_25</v>
          </cell>
          <cell r="AP60">
            <v>410</v>
          </cell>
        </row>
        <row r="61">
          <cell r="AG61" t="str">
            <v>Moore_Jaxon_25</v>
          </cell>
          <cell r="AP61">
            <v>400</v>
          </cell>
        </row>
        <row r="62">
          <cell r="AG62" t="str">
            <v>Nickens_Tye_25</v>
          </cell>
          <cell r="AP62">
            <v>395</v>
          </cell>
        </row>
        <row r="63">
          <cell r="AG63" t="str">
            <v>Gooden_Dylan_25</v>
          </cell>
          <cell r="AP63">
            <v>395</v>
          </cell>
        </row>
        <row r="64">
          <cell r="AG64" t="str">
            <v>McKenzie_Anta'Veon_25</v>
          </cell>
          <cell r="AP64">
            <v>390</v>
          </cell>
        </row>
        <row r="65">
          <cell r="AG65" t="str">
            <v>Higgins_Kaleb_25</v>
          </cell>
          <cell r="AP65">
            <v>390</v>
          </cell>
        </row>
        <row r="66">
          <cell r="AG66" t="str">
            <v>Jones_Jekob_25</v>
          </cell>
          <cell r="AP66">
            <v>390</v>
          </cell>
        </row>
        <row r="67">
          <cell r="AG67" t="str">
            <v>Rocha_Alex_25</v>
          </cell>
          <cell r="AP67">
            <v>385</v>
          </cell>
        </row>
        <row r="68">
          <cell r="AG68" t="str">
            <v>Bryant_Ajon_25</v>
          </cell>
          <cell r="AP68">
            <v>380</v>
          </cell>
        </row>
        <row r="69">
          <cell r="AG69" t="str">
            <v>Oliver_Jason_25</v>
          </cell>
          <cell r="AP69">
            <v>380</v>
          </cell>
        </row>
        <row r="70">
          <cell r="AG70" t="str">
            <v>Smith_Onterrio_25</v>
          </cell>
          <cell r="AP70">
            <v>375</v>
          </cell>
        </row>
        <row r="71">
          <cell r="AG71" t="str">
            <v>Johnston_Adam_25</v>
          </cell>
          <cell r="AP71">
            <v>375</v>
          </cell>
        </row>
        <row r="72">
          <cell r="AG72" t="str">
            <v>Hall_Agiye_25</v>
          </cell>
          <cell r="AP72">
            <v>370</v>
          </cell>
        </row>
        <row r="73">
          <cell r="AG73" t="str">
            <v>Robinson_Dontae_25</v>
          </cell>
          <cell r="AP73">
            <v>370</v>
          </cell>
        </row>
        <row r="74">
          <cell r="AG74" t="str">
            <v>Puloka_Fata_25</v>
          </cell>
          <cell r="AP74">
            <v>370</v>
          </cell>
        </row>
        <row r="75">
          <cell r="AG75" t="str">
            <v>Taylor_Adam_25</v>
          </cell>
          <cell r="AP75">
            <v>365</v>
          </cell>
        </row>
        <row r="76">
          <cell r="AG76" t="str">
            <v>Mullican_Elias_25</v>
          </cell>
          <cell r="AP76">
            <v>365</v>
          </cell>
        </row>
        <row r="77">
          <cell r="AG77" t="str">
            <v>Gordon_Diesel_25</v>
          </cell>
          <cell r="AP77">
            <v>365</v>
          </cell>
        </row>
        <row r="78">
          <cell r="AG78" t="str">
            <v>Johnson-Burrell_Lamont_25</v>
          </cell>
          <cell r="AP78">
            <v>365</v>
          </cell>
        </row>
        <row r="79">
          <cell r="AG79" t="str">
            <v>Reese_Caleb_25</v>
          </cell>
          <cell r="AP79">
            <v>365</v>
          </cell>
        </row>
        <row r="80">
          <cell r="AG80" t="str">
            <v>Wilson_Jace_25</v>
          </cell>
          <cell r="AP80">
            <v>365</v>
          </cell>
        </row>
        <row r="81">
          <cell r="AG81" t="str">
            <v>Thomson_Gavin_25</v>
          </cell>
          <cell r="AP81">
            <v>360</v>
          </cell>
        </row>
        <row r="82">
          <cell r="AG82" t="str">
            <v>Fresques_Jaxon_25</v>
          </cell>
          <cell r="AP82">
            <v>355</v>
          </cell>
        </row>
        <row r="83">
          <cell r="AG83" t="str">
            <v>Chouteau_Lono_25</v>
          </cell>
          <cell r="AP83">
            <v>355</v>
          </cell>
        </row>
        <row r="84">
          <cell r="AG84" t="str">
            <v>Henderson_Damian_25</v>
          </cell>
          <cell r="AP84">
            <v>355</v>
          </cell>
        </row>
        <row r="85">
          <cell r="AG85" t="str">
            <v>Lee_Ricky_25</v>
          </cell>
          <cell r="AP85">
            <v>350</v>
          </cell>
        </row>
        <row r="86">
          <cell r="AG86" t="str">
            <v>Cahoon_Jackson_25</v>
          </cell>
          <cell r="AP86">
            <v>350</v>
          </cell>
        </row>
        <row r="87">
          <cell r="AG87" t="str">
            <v>Anderson_Hayden_25</v>
          </cell>
          <cell r="AP87">
            <v>345</v>
          </cell>
        </row>
        <row r="88">
          <cell r="AG88" t="str">
            <v>Williams_Cardell_25</v>
          </cell>
          <cell r="AP88">
            <v>340</v>
          </cell>
        </row>
        <row r="89">
          <cell r="AG89" t="str">
            <v>Hood_Jamal_25</v>
          </cell>
          <cell r="AP89">
            <v>340</v>
          </cell>
        </row>
        <row r="90">
          <cell r="AG90" t="str">
            <v>Smith_Warren_25</v>
          </cell>
          <cell r="AP90">
            <v>335</v>
          </cell>
        </row>
        <row r="91">
          <cell r="AG91" t="str">
            <v>Garner_Drey_25</v>
          </cell>
          <cell r="AP91">
            <v>335</v>
          </cell>
        </row>
        <row r="92">
          <cell r="AG92" t="str">
            <v>Taylor_Mike_25</v>
          </cell>
          <cell r="AP92">
            <v>335</v>
          </cell>
        </row>
        <row r="93">
          <cell r="AG93" t="str">
            <v>McGough_Cal_25</v>
          </cell>
          <cell r="AP93">
            <v>335</v>
          </cell>
        </row>
        <row r="94">
          <cell r="AG94" t="str">
            <v>Moore_Oscar_25</v>
          </cell>
          <cell r="AP94">
            <v>335</v>
          </cell>
        </row>
        <row r="95">
          <cell r="AG95" t="str">
            <v>Mosley_Micah_25</v>
          </cell>
          <cell r="AP95">
            <v>335</v>
          </cell>
        </row>
        <row r="96">
          <cell r="AG96" t="str">
            <v>McDowell_Connor_25</v>
          </cell>
          <cell r="AP96">
            <v>325</v>
          </cell>
        </row>
        <row r="97">
          <cell r="AG97" t="str">
            <v>Jefferson_Jordan_25</v>
          </cell>
          <cell r="AP97">
            <v>325</v>
          </cell>
        </row>
        <row r="98">
          <cell r="AG98" t="str">
            <v>Fernandez_Tre_25</v>
          </cell>
          <cell r="AP98">
            <v>320</v>
          </cell>
        </row>
        <row r="99">
          <cell r="AG99" t="str">
            <v>Bass_Trey_25</v>
          </cell>
          <cell r="AP99">
            <v>315</v>
          </cell>
        </row>
        <row r="100">
          <cell r="AG100" t="str">
            <v>Anderson_Jordan_25</v>
          </cell>
          <cell r="AP100">
            <v>310</v>
          </cell>
        </row>
        <row r="101">
          <cell r="AG101" t="str">
            <v>McDaniel_Damien_25</v>
          </cell>
          <cell r="AP101">
            <v>310</v>
          </cell>
        </row>
        <row r="102">
          <cell r="AG102" t="str">
            <v>Conerly_Tim_25</v>
          </cell>
          <cell r="AP102">
            <v>305</v>
          </cell>
        </row>
        <row r="103">
          <cell r="AG103" t="str">
            <v>Melanson_Mike_25</v>
          </cell>
          <cell r="AP103">
            <v>295</v>
          </cell>
        </row>
        <row r="104">
          <cell r="AG104" t="str">
            <v>Johnson_Michael_25</v>
          </cell>
          <cell r="AP104">
            <v>295</v>
          </cell>
        </row>
        <row r="105">
          <cell r="AG105" t="str">
            <v>Smith_Jaquail_25</v>
          </cell>
          <cell r="AP105">
            <v>290</v>
          </cell>
        </row>
        <row r="106">
          <cell r="AG106" t="str">
            <v>Robinson_Jayden_25</v>
          </cell>
          <cell r="AP106">
            <v>285</v>
          </cell>
        </row>
        <row r="107">
          <cell r="AG107" t="str">
            <v>Stallworth_Jeremiah_25</v>
          </cell>
          <cell r="AP107">
            <v>270</v>
          </cell>
        </row>
        <row r="108">
          <cell r="AG108" t="str">
            <v>Firebaugh_Joseph_25</v>
          </cell>
          <cell r="AP108">
            <v>265</v>
          </cell>
        </row>
        <row r="109">
          <cell r="AG109" t="str">
            <v>Susini_Max_25</v>
          </cell>
          <cell r="AP109">
            <v>255</v>
          </cell>
        </row>
        <row r="110">
          <cell r="AG110" t="str">
            <v>Campbell_Ernest_25</v>
          </cell>
          <cell r="AP110">
            <v>250</v>
          </cell>
        </row>
        <row r="111">
          <cell r="AG111" t="str">
            <v>Mitchell_Naytel_25</v>
          </cell>
          <cell r="AP111">
            <v>250</v>
          </cell>
        </row>
        <row r="112">
          <cell r="AG112" t="str">
            <v>Meadors_Grant_25</v>
          </cell>
          <cell r="AP112">
            <v>235</v>
          </cell>
        </row>
      </sheetData>
      <sheetData sheetId="6">
        <row r="3">
          <cell r="Y3" t="str">
            <v>Higgins_Kaleb_25</v>
          </cell>
          <cell r="AD3">
            <v>335</v>
          </cell>
        </row>
        <row r="4">
          <cell r="Y4" t="str">
            <v>Davis_Diego_25</v>
          </cell>
          <cell r="AD4">
            <v>335</v>
          </cell>
        </row>
        <row r="5">
          <cell r="Y5" t="str">
            <v>Vi_Pita_25</v>
          </cell>
          <cell r="AD5">
            <v>335</v>
          </cell>
        </row>
        <row r="6">
          <cell r="Y6" t="str">
            <v>Houston_Derek_25</v>
          </cell>
          <cell r="AD6">
            <v>325</v>
          </cell>
        </row>
        <row r="7">
          <cell r="Y7" t="str">
            <v>Williams_Xavier_25</v>
          </cell>
          <cell r="AD7">
            <v>325</v>
          </cell>
        </row>
        <row r="8">
          <cell r="Y8" t="str">
            <v>Borders_Curron_25</v>
          </cell>
          <cell r="AD8">
            <v>315</v>
          </cell>
        </row>
        <row r="9">
          <cell r="Y9" t="str">
            <v>McGlothen_Jayland_25</v>
          </cell>
          <cell r="AD9">
            <v>315</v>
          </cell>
        </row>
        <row r="10">
          <cell r="Y10" t="str">
            <v>Hays_Sawyer_25</v>
          </cell>
          <cell r="AD10">
            <v>315</v>
          </cell>
        </row>
        <row r="11">
          <cell r="Y11" t="str">
            <v>Gretlein_Cade_25</v>
          </cell>
          <cell r="AD11">
            <v>315</v>
          </cell>
        </row>
        <row r="12">
          <cell r="Y12" t="str">
            <v>Soto_Jose_25</v>
          </cell>
          <cell r="AD12">
            <v>315</v>
          </cell>
        </row>
        <row r="13">
          <cell r="Y13" t="str">
            <v>Wright_Deven_25</v>
          </cell>
          <cell r="AD13">
            <v>305</v>
          </cell>
        </row>
        <row r="14">
          <cell r="Y14" t="str">
            <v>Eskridge_Matthew_25</v>
          </cell>
          <cell r="AD14">
            <v>305</v>
          </cell>
        </row>
        <row r="15">
          <cell r="Y15" t="str">
            <v>Meek_Aidan_25</v>
          </cell>
          <cell r="AD15">
            <v>305</v>
          </cell>
        </row>
        <row r="16">
          <cell r="Y16" t="str">
            <v>Summers_Bryson_25</v>
          </cell>
          <cell r="AD16">
            <v>305</v>
          </cell>
        </row>
        <row r="17">
          <cell r="Y17" t="str">
            <v>May_Davis_25</v>
          </cell>
          <cell r="AD17">
            <v>305</v>
          </cell>
        </row>
        <row r="18">
          <cell r="Y18" t="str">
            <v>Johnson_Michael_25</v>
          </cell>
          <cell r="AD18">
            <v>295</v>
          </cell>
        </row>
        <row r="19">
          <cell r="Y19" t="str">
            <v>Cashiola_Josh_25</v>
          </cell>
          <cell r="AD19">
            <v>295</v>
          </cell>
        </row>
        <row r="20">
          <cell r="Y20" t="str">
            <v>Hampsten_Dylan_25</v>
          </cell>
          <cell r="AD20">
            <v>295</v>
          </cell>
        </row>
        <row r="21">
          <cell r="Y21" t="str">
            <v>Slater_Luke_25</v>
          </cell>
          <cell r="AD21">
            <v>295</v>
          </cell>
        </row>
        <row r="22">
          <cell r="Y22" t="str">
            <v>Tagaloa_Brodie_25</v>
          </cell>
          <cell r="AD22">
            <v>295</v>
          </cell>
        </row>
        <row r="23">
          <cell r="Y23" t="str">
            <v>Abdullah_Dean_25</v>
          </cell>
          <cell r="AD23">
            <v>295</v>
          </cell>
        </row>
        <row r="24">
          <cell r="Y24" t="str">
            <v>Watts_DeSean_25</v>
          </cell>
          <cell r="AD24">
            <v>295</v>
          </cell>
        </row>
        <row r="25">
          <cell r="Y25" t="str">
            <v>McKay_Richard_25</v>
          </cell>
          <cell r="AD25">
            <v>290</v>
          </cell>
        </row>
        <row r="26">
          <cell r="Y26" t="str">
            <v>Nelson_Gavin_25</v>
          </cell>
          <cell r="AD26">
            <v>285</v>
          </cell>
        </row>
        <row r="27">
          <cell r="Y27" t="str">
            <v>Bailey_Miles_25</v>
          </cell>
          <cell r="AD27">
            <v>285</v>
          </cell>
        </row>
        <row r="28">
          <cell r="Y28" t="str">
            <v>Sousa_Brandon_25</v>
          </cell>
          <cell r="AD28">
            <v>285</v>
          </cell>
        </row>
        <row r="29">
          <cell r="Y29" t="str">
            <v>Akui_Koa_25</v>
          </cell>
          <cell r="AD29">
            <v>280</v>
          </cell>
        </row>
        <row r="30">
          <cell r="Y30" t="str">
            <v>Smith_Onterrio_25</v>
          </cell>
          <cell r="AD30">
            <v>275</v>
          </cell>
        </row>
        <row r="31">
          <cell r="Y31" t="str">
            <v>Butler_Dejuan_25</v>
          </cell>
          <cell r="AD31">
            <v>275</v>
          </cell>
        </row>
        <row r="32">
          <cell r="Y32" t="str">
            <v>Huddle_Elijah_25</v>
          </cell>
          <cell r="AD32">
            <v>275</v>
          </cell>
        </row>
        <row r="33">
          <cell r="Y33" t="str">
            <v>Wilson_Jace_25</v>
          </cell>
          <cell r="AD33">
            <v>275</v>
          </cell>
        </row>
        <row r="34">
          <cell r="Y34" t="str">
            <v>Rocha_Alex_25</v>
          </cell>
          <cell r="AD34">
            <v>275</v>
          </cell>
        </row>
        <row r="35">
          <cell r="Y35" t="str">
            <v>Boeddeker_Hunter_25</v>
          </cell>
          <cell r="AD35">
            <v>275</v>
          </cell>
        </row>
        <row r="36">
          <cell r="Y36" t="str">
            <v>Puloka_Fata_25</v>
          </cell>
          <cell r="AD36">
            <v>275</v>
          </cell>
        </row>
        <row r="37">
          <cell r="Y37" t="str">
            <v>Tanner_Logan_25</v>
          </cell>
          <cell r="AD37">
            <v>275</v>
          </cell>
        </row>
        <row r="38">
          <cell r="Y38" t="str">
            <v>Red_Savion_25</v>
          </cell>
          <cell r="AD38">
            <v>275</v>
          </cell>
        </row>
        <row r="39">
          <cell r="Y39" t="str">
            <v>Norris_Sammy_25</v>
          </cell>
          <cell r="AD39">
            <v>275</v>
          </cell>
        </row>
        <row r="40">
          <cell r="Y40" t="str">
            <v>Ross_Kris_25</v>
          </cell>
          <cell r="AD40">
            <v>275</v>
          </cell>
        </row>
        <row r="41">
          <cell r="Y41" t="str">
            <v>Ambuehl_Davis_25</v>
          </cell>
          <cell r="AD41">
            <v>275</v>
          </cell>
        </row>
        <row r="42">
          <cell r="Y42" t="str">
            <v>Speno_Joseph_25</v>
          </cell>
          <cell r="AD42">
            <v>275</v>
          </cell>
        </row>
        <row r="43">
          <cell r="Y43" t="str">
            <v>Tullis_Malik_25</v>
          </cell>
          <cell r="AD43">
            <v>275</v>
          </cell>
        </row>
        <row r="44">
          <cell r="Y44" t="str">
            <v>Jefferson_KJ_25</v>
          </cell>
          <cell r="AD44">
            <v>270</v>
          </cell>
        </row>
        <row r="45">
          <cell r="Y45" t="str">
            <v>Mosley_Micah_25</v>
          </cell>
          <cell r="AD45">
            <v>270</v>
          </cell>
        </row>
        <row r="46">
          <cell r="Y46" t="str">
            <v>Ortiz_Elijah_25</v>
          </cell>
          <cell r="AD46">
            <v>270</v>
          </cell>
        </row>
        <row r="47">
          <cell r="Y47" t="str">
            <v>Curtis_Jamar_25</v>
          </cell>
          <cell r="AD47">
            <v>265</v>
          </cell>
        </row>
        <row r="48">
          <cell r="Y48" t="str">
            <v>McKenzie_Anta'Veon_25</v>
          </cell>
          <cell r="AD48">
            <v>265</v>
          </cell>
        </row>
        <row r="49">
          <cell r="Y49" t="str">
            <v>Adams_Sam_25</v>
          </cell>
          <cell r="AD49">
            <v>265</v>
          </cell>
        </row>
        <row r="50">
          <cell r="Y50" t="str">
            <v>Williams_Jordan_25</v>
          </cell>
          <cell r="AD50">
            <v>265</v>
          </cell>
        </row>
        <row r="51">
          <cell r="Y51" t="str">
            <v>Kovacs_Giovanni_25</v>
          </cell>
          <cell r="AD51">
            <v>265</v>
          </cell>
        </row>
        <row r="52">
          <cell r="Y52" t="str">
            <v>Jefferson_Jordan_25</v>
          </cell>
          <cell r="AD52">
            <v>265</v>
          </cell>
        </row>
        <row r="53">
          <cell r="Y53" t="str">
            <v>Riley_Kenndel_25</v>
          </cell>
          <cell r="AD53">
            <v>265</v>
          </cell>
        </row>
        <row r="54">
          <cell r="Y54" t="str">
            <v>Mullican_Elias_25</v>
          </cell>
          <cell r="AD54">
            <v>260</v>
          </cell>
        </row>
        <row r="55">
          <cell r="Y55" t="str">
            <v>Emerson_Yebrell_25</v>
          </cell>
          <cell r="AD55">
            <v>260</v>
          </cell>
        </row>
        <row r="56">
          <cell r="Y56" t="str">
            <v>Gooden_Dylan_25</v>
          </cell>
          <cell r="AD56">
            <v>260</v>
          </cell>
        </row>
        <row r="57">
          <cell r="Y57" t="str">
            <v>Johnson-Burrell_Lamont_25</v>
          </cell>
          <cell r="AD57">
            <v>255</v>
          </cell>
        </row>
        <row r="58">
          <cell r="Y58" t="str">
            <v>Solis_Jojo_25</v>
          </cell>
          <cell r="AD58">
            <v>255</v>
          </cell>
        </row>
        <row r="59">
          <cell r="Y59" t="str">
            <v>Johnston_Adam_25</v>
          </cell>
          <cell r="AD59">
            <v>255</v>
          </cell>
        </row>
        <row r="60">
          <cell r="Y60" t="str">
            <v>Jones_Jekob_25</v>
          </cell>
          <cell r="AD60">
            <v>255</v>
          </cell>
        </row>
        <row r="61">
          <cell r="Y61" t="str">
            <v>Scott_Brennon_25</v>
          </cell>
          <cell r="AD61">
            <v>255</v>
          </cell>
        </row>
        <row r="62">
          <cell r="Y62" t="str">
            <v>Taylor_Mike_25</v>
          </cell>
          <cell r="AD62">
            <v>250</v>
          </cell>
        </row>
        <row r="63">
          <cell r="Y63" t="str">
            <v>Cahoon_Jackson_25</v>
          </cell>
          <cell r="AD63">
            <v>250</v>
          </cell>
        </row>
        <row r="64">
          <cell r="Y64" t="str">
            <v>Malone_Jamar_25</v>
          </cell>
          <cell r="AD64">
            <v>250</v>
          </cell>
        </row>
        <row r="65">
          <cell r="Y65" t="str">
            <v>Moore_Jaxon_25</v>
          </cell>
          <cell r="AD65">
            <v>250</v>
          </cell>
        </row>
        <row r="66">
          <cell r="Y66" t="str">
            <v>Kindle_Malachi_25</v>
          </cell>
          <cell r="AD66">
            <v>250</v>
          </cell>
        </row>
        <row r="67">
          <cell r="Y67" t="str">
            <v>Fresques_Jaxon_25</v>
          </cell>
          <cell r="AD67">
            <v>245</v>
          </cell>
        </row>
        <row r="68">
          <cell r="Y68" t="str">
            <v>Gordon_Diesel_25</v>
          </cell>
          <cell r="AD68">
            <v>245</v>
          </cell>
        </row>
        <row r="69">
          <cell r="Y69" t="str">
            <v>Meadors_Grant_25</v>
          </cell>
          <cell r="AD69">
            <v>245</v>
          </cell>
        </row>
        <row r="70">
          <cell r="Y70" t="str">
            <v>Firebaugh_Joseph_25</v>
          </cell>
          <cell r="AD70">
            <v>245</v>
          </cell>
        </row>
        <row r="71">
          <cell r="Y71" t="str">
            <v>Hammond_Rodney_25</v>
          </cell>
          <cell r="AD71">
            <v>245</v>
          </cell>
        </row>
        <row r="72">
          <cell r="Y72" t="str">
            <v>Nickens_Tye_25</v>
          </cell>
          <cell r="AD72">
            <v>240</v>
          </cell>
        </row>
        <row r="73">
          <cell r="Y73" t="str">
            <v>McDowell_Connor_25</v>
          </cell>
          <cell r="AD73">
            <v>240</v>
          </cell>
        </row>
        <row r="74">
          <cell r="Y74" t="str">
            <v>Reese_Caleb_25</v>
          </cell>
          <cell r="AD74">
            <v>240</v>
          </cell>
        </row>
        <row r="75">
          <cell r="Y75" t="str">
            <v>Bryant_Ajon_25</v>
          </cell>
          <cell r="AD75">
            <v>235</v>
          </cell>
        </row>
        <row r="76">
          <cell r="Y76" t="str">
            <v>Oliver_Jason_25</v>
          </cell>
          <cell r="AD76">
            <v>235</v>
          </cell>
        </row>
        <row r="77">
          <cell r="Y77" t="str">
            <v>Melanson_Mike_25</v>
          </cell>
          <cell r="AD77">
            <v>235</v>
          </cell>
        </row>
        <row r="78">
          <cell r="Y78" t="str">
            <v>Taylor_Adam_25</v>
          </cell>
          <cell r="AD78">
            <v>225</v>
          </cell>
        </row>
        <row r="79">
          <cell r="Y79" t="str">
            <v>Lee_Ricky_25</v>
          </cell>
          <cell r="AD79">
            <v>225</v>
          </cell>
        </row>
        <row r="80">
          <cell r="Y80" t="str">
            <v>Fernandez_Tre_25</v>
          </cell>
          <cell r="AD80">
            <v>225</v>
          </cell>
        </row>
        <row r="81">
          <cell r="Y81" t="str">
            <v>McDaniel_Damien_25</v>
          </cell>
          <cell r="AD81">
            <v>225</v>
          </cell>
        </row>
        <row r="82">
          <cell r="Y82" t="str">
            <v>Hood_Jamal_25</v>
          </cell>
          <cell r="AD82">
            <v>225</v>
          </cell>
        </row>
        <row r="83">
          <cell r="Y83" t="str">
            <v>Bass_Trey_25</v>
          </cell>
          <cell r="AD83">
            <v>225</v>
          </cell>
        </row>
        <row r="84">
          <cell r="Y84" t="str">
            <v>Williams_Jalen_25</v>
          </cell>
          <cell r="AD84">
            <v>225</v>
          </cell>
        </row>
        <row r="85">
          <cell r="Y85" t="str">
            <v>Hall_Agiye_25</v>
          </cell>
          <cell r="AD85">
            <v>225</v>
          </cell>
        </row>
        <row r="86">
          <cell r="Y86" t="str">
            <v>Mitchell_Naytel_25</v>
          </cell>
          <cell r="AD86">
            <v>225</v>
          </cell>
        </row>
        <row r="87">
          <cell r="Y87" t="str">
            <v>Robinson_Dontae_25</v>
          </cell>
          <cell r="AD87">
            <v>225</v>
          </cell>
        </row>
        <row r="88">
          <cell r="Y88" t="str">
            <v>Susini_Max_25</v>
          </cell>
          <cell r="AD88">
            <v>215</v>
          </cell>
        </row>
        <row r="89">
          <cell r="Y89" t="str">
            <v>McGough_Cal_25</v>
          </cell>
          <cell r="AD89">
            <v>210</v>
          </cell>
        </row>
        <row r="90">
          <cell r="Y90" t="str">
            <v>Campbell_Ernest_25</v>
          </cell>
          <cell r="AD90">
            <v>205</v>
          </cell>
        </row>
        <row r="91">
          <cell r="Y91" t="str">
            <v>Smith_Warren_25</v>
          </cell>
          <cell r="AD91">
            <v>205</v>
          </cell>
        </row>
        <row r="92">
          <cell r="Y92" t="str">
            <v>Henderson_Damian_25</v>
          </cell>
          <cell r="AD92">
            <v>205</v>
          </cell>
        </row>
        <row r="93">
          <cell r="Y93" t="str">
            <v>Stallworth_Jeremiah_25</v>
          </cell>
          <cell r="AD93">
            <v>205</v>
          </cell>
        </row>
        <row r="94">
          <cell r="Y94" t="str">
            <v>Chouteau_Lono_25</v>
          </cell>
          <cell r="AD94">
            <v>195</v>
          </cell>
        </row>
        <row r="95">
          <cell r="Y95" t="str">
            <v>Anderson_Hayden_25</v>
          </cell>
          <cell r="AD95">
            <v>195</v>
          </cell>
        </row>
        <row r="96">
          <cell r="Y96" t="str">
            <v>Conerly_Tim_25</v>
          </cell>
          <cell r="AD96">
            <v>185</v>
          </cell>
        </row>
        <row r="97">
          <cell r="Y97" t="str">
            <v>Robinson_Jayden_25</v>
          </cell>
          <cell r="AD97">
            <v>185</v>
          </cell>
        </row>
        <row r="98">
          <cell r="Y98" t="str">
            <v>Smith_Jaquail_25</v>
          </cell>
          <cell r="AD98">
            <v>185</v>
          </cell>
        </row>
        <row r="99">
          <cell r="Y99" t="str">
            <v>Garner_Drey_25</v>
          </cell>
          <cell r="AD99">
            <v>185</v>
          </cell>
        </row>
        <row r="100">
          <cell r="Y100" t="str">
            <v>Tenney_Bear_25</v>
          </cell>
          <cell r="AD100">
            <v>165</v>
          </cell>
        </row>
        <row r="101">
          <cell r="Y101" t="str">
            <v>Moore_Oscar_25</v>
          </cell>
        </row>
        <row r="102">
          <cell r="Y102" t="str">
            <v>Gillespie_James_25</v>
          </cell>
          <cell r="AD102" t="str">
            <v/>
          </cell>
        </row>
        <row r="103">
          <cell r="Y103" t="str">
            <v>Massey_Syncere_25</v>
          </cell>
          <cell r="AD103" t="str">
            <v/>
          </cell>
        </row>
        <row r="104">
          <cell r="Y104" t="str">
            <v>Swindle_Melvin_25</v>
          </cell>
          <cell r="AD104" t="str">
            <v/>
          </cell>
        </row>
        <row r="105">
          <cell r="Y105" t="str">
            <v>Herman_Jordan_25</v>
          </cell>
          <cell r="AD105" t="str">
            <v/>
          </cell>
        </row>
        <row r="106">
          <cell r="Y106" t="str">
            <v>Lee_Graysen_25</v>
          </cell>
          <cell r="AD106" t="str">
            <v/>
          </cell>
        </row>
        <row r="107">
          <cell r="Y107" t="str">
            <v>Sheffield_DeAnthony_25</v>
          </cell>
          <cell r="AD107" t="str">
            <v/>
          </cell>
        </row>
        <row r="108">
          <cell r="Y108" t="str">
            <v>Rashada_Jaden_25</v>
          </cell>
          <cell r="AD108" t="str">
            <v/>
          </cell>
        </row>
        <row r="109">
          <cell r="Y109" t="str">
            <v>Williams_Cardell_25</v>
          </cell>
          <cell r="AD109" t="str">
            <v/>
          </cell>
        </row>
        <row r="110">
          <cell r="Y110" t="str">
            <v>Brown_Elias_25</v>
          </cell>
          <cell r="AD110" t="str">
            <v/>
          </cell>
        </row>
        <row r="111">
          <cell r="Y111" t="str">
            <v>Anderson_Jordan_25</v>
          </cell>
          <cell r="AD111" t="str">
            <v/>
          </cell>
        </row>
        <row r="112">
          <cell r="Y112" t="str">
            <v>Thomson_Gavin_25</v>
          </cell>
          <cell r="AD112" t="str">
            <v/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rin" refreshedDate="45845.739992939816" createdVersion="8" refreshedVersion="8" minRefreshableVersion="3" recordCount="110" xr:uid="{BD5738E6-22BA-484C-B400-08B13C49F369}">
  <cacheSource type="worksheet">
    <worksheetSource name="Table2"/>
  </cacheSource>
  <cacheFields count="8">
    <cacheField name="Name" numFmtId="0">
      <sharedItems/>
    </cacheField>
    <cacheField name="Offical_ID" numFmtId="0">
      <sharedItems/>
    </cacheField>
    <cacheField name="Last" numFmtId="0">
      <sharedItems containsMixedTypes="1" containsNumber="1" containsInteger="1" minValue="0" maxValue="0"/>
    </cacheField>
    <cacheField name="Position" numFmtId="0">
      <sharedItems count="14">
        <s v="LS"/>
        <s v="CB"/>
        <s v="DL"/>
        <s v="P"/>
        <s v="ILB"/>
        <s v="OLB"/>
        <s v="S"/>
        <s v="K"/>
        <s v="FB"/>
        <s v="OL"/>
        <s v="QB"/>
        <s v="RB"/>
        <s v="TE"/>
        <s v="WR"/>
      </sharedItems>
    </cacheField>
    <cacheField name="Sensor_Id" numFmtId="0">
      <sharedItems containsMixedTypes="1" containsNumber="1" containsInteger="1" minValue="810861" maxValue="814614" count="101">
        <s v="None"/>
        <n v="811532"/>
        <n v="810862"/>
        <n v="811734"/>
        <n v="811738"/>
        <n v="811735"/>
        <n v="814330"/>
        <n v="814453"/>
        <n v="811525"/>
        <n v="814341"/>
        <n v="814612"/>
        <n v="814598"/>
        <n v="814611"/>
        <n v="814593"/>
        <n v="814591"/>
        <n v="814599"/>
        <n v="811724"/>
        <n v="814348"/>
        <n v="811733"/>
        <n v="814454"/>
        <n v="811725"/>
        <n v="814347"/>
        <n v="814608"/>
        <n v="811718"/>
        <n v="814469"/>
        <n v="814332"/>
        <n v="811739"/>
        <n v="811510"/>
        <n v="811731"/>
        <n v="814343"/>
        <n v="811520"/>
        <n v="814335"/>
        <n v="811721"/>
        <n v="814592"/>
        <n v="811732"/>
        <n v="814333"/>
        <n v="811528"/>
        <n v="811334"/>
        <n v="814455"/>
        <n v="814337"/>
        <n v="814345"/>
        <n v="810861"/>
        <n v="811728"/>
        <n v="814346"/>
        <n v="814334"/>
        <n v="811730"/>
        <n v="814336"/>
        <n v="814349"/>
        <n v="814328"/>
        <n v="811736"/>
        <n v="811516"/>
        <n v="814614"/>
        <n v="811527"/>
        <n v="811512"/>
        <n v="814448"/>
        <n v="814449"/>
        <n v="814451"/>
        <n v="814606"/>
        <n v="814596"/>
        <n v="811526"/>
        <n v="814452"/>
        <n v="814613"/>
        <n v="814610"/>
        <n v="814607"/>
        <n v="811530"/>
        <n v="814609"/>
        <n v="814327"/>
        <n v="814450"/>
        <n v="814594"/>
        <n v="811737"/>
        <n v="811522"/>
        <n v="811514"/>
        <n v="814447"/>
        <n v="811513"/>
        <s v="Broken"/>
        <n v="814338"/>
        <n v="811509"/>
        <n v="811518"/>
        <n v="811511"/>
        <n v="811722"/>
        <n v="814468"/>
        <n v="814339"/>
        <n v="814605"/>
        <n v="814597"/>
        <n v="811521"/>
        <n v="814600"/>
        <n v="811519"/>
        <n v="814340"/>
        <n v="811529"/>
        <n v="814604"/>
        <n v="811723"/>
        <n v="811515"/>
        <n v="814603"/>
        <n v="811740"/>
        <n v="814344"/>
        <n v="811523"/>
        <n v="814342"/>
        <n v="814470"/>
        <n v="811517"/>
        <n v="811524"/>
        <n v="811726"/>
      </sharedItems>
    </cacheField>
    <cacheField name="SOB" numFmtId="0">
      <sharedItems containsBlank="1" count="3">
        <m/>
        <s v="Defense"/>
        <s v="Offense"/>
      </sharedItems>
    </cacheField>
    <cacheField name="Dock" numFmtId="0">
      <sharedItems containsNonDate="0" containsString="0" containsBlank="1"/>
    </cacheField>
    <cacheField name="Spo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ahan, Torin" refreshedDate="45932.676419444448" createdVersion="8" refreshedVersion="8" minRefreshableVersion="3" recordCount="124" xr:uid="{D6430416-FBA8-4300-AF5D-FEE1383480ED}">
  <cacheSource type="worksheet">
    <worksheetSource name="Master_Roster"/>
  </cacheSource>
  <cacheFields count="15">
    <cacheField name="Team" numFmtId="0">
      <sharedItems count="2">
        <s v="Active"/>
        <s v="Archive 25"/>
      </sharedItems>
    </cacheField>
    <cacheField name="Roster Name" numFmtId="0">
      <sharedItems containsBlank="1"/>
    </cacheField>
    <cacheField name="Simple Name" numFmtId="0">
      <sharedItems containsBlank="1"/>
    </cacheField>
    <cacheField name="Offical ID" numFmtId="0">
      <sharedItems/>
    </cacheField>
    <cacheField name="Initial_Name" numFmtId="0">
      <sharedItems/>
    </cacheField>
    <cacheField name="First Name" numFmtId="0">
      <sharedItems containsBlank="1"/>
    </cacheField>
    <cacheField name="Last Name" numFmtId="0">
      <sharedItems containsBlank="1"/>
    </cacheField>
    <cacheField name="Vald Name" numFmtId="0">
      <sharedItems containsBlank="1"/>
    </cacheField>
    <cacheField name="Kinexon Name" numFmtId="0">
      <sharedItems containsBlank="1"/>
    </cacheField>
    <cacheField name="Perch Name" numFmtId="0">
      <sharedItems containsBlank="1"/>
    </cacheField>
    <cacheField name="Data Hub Name" numFmtId="0">
      <sharedItems containsBlank="1"/>
    </cacheField>
    <cacheField name="Position" numFmtId="0">
      <sharedItems containsBlank="1" count="16">
        <s v="CB"/>
        <s v="OLB"/>
        <s v="DL"/>
        <s v="FB"/>
        <s v="ILB"/>
        <s v="K"/>
        <s v="LS"/>
        <s v="OL"/>
        <s v="P"/>
        <s v="QB"/>
        <s v="RB"/>
        <s v="S"/>
        <s v="TE"/>
        <s v="WR"/>
        <s v=""/>
        <m/>
      </sharedItems>
    </cacheField>
    <cacheField name="Position Class" numFmtId="0">
      <sharedItems/>
    </cacheField>
    <cacheField name="Offical ID2" numFmtId="0">
      <sharedItems containsBlank="1"/>
    </cacheField>
    <cacheField name="Starter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Adam Johnston"/>
    <s v="Johnston_Adam_25"/>
    <s v="Johnston"/>
    <x v="0"/>
    <x v="0"/>
    <x v="0"/>
    <m/>
    <m/>
  </r>
  <r>
    <s v="Dejuan Butler"/>
    <s v="Butler_Dejuan_25"/>
    <s v="Butler"/>
    <x v="1"/>
    <x v="1"/>
    <x v="1"/>
    <m/>
    <m/>
  </r>
  <r>
    <s v="Lamont Johnson-Burrell"/>
    <s v="Johnson-Burrell_Lamont_25"/>
    <s v="Johnson-Burrell"/>
    <x v="1"/>
    <x v="2"/>
    <x v="1"/>
    <m/>
    <m/>
  </r>
  <r>
    <s v="Ricky Lee"/>
    <s v="Lee_Ricky_25"/>
    <s v="Lee"/>
    <x v="1"/>
    <x v="3"/>
    <x v="1"/>
    <m/>
    <m/>
  </r>
  <r>
    <s v="Elias Mullican"/>
    <s v="Mullican_Elias_25"/>
    <s v="Mullican"/>
    <x v="1"/>
    <x v="4"/>
    <x v="1"/>
    <m/>
    <m/>
  </r>
  <r>
    <s v="Jason Oliver"/>
    <s v="Oliver_Jason_25"/>
    <s v="Oliver"/>
    <x v="1"/>
    <x v="5"/>
    <x v="1"/>
    <m/>
    <m/>
  </r>
  <r>
    <s v="Caleb Reese"/>
    <s v="Reese_Caleb_25"/>
    <s v="Reese"/>
    <x v="1"/>
    <x v="6"/>
    <x v="1"/>
    <m/>
    <m/>
  </r>
  <r>
    <s v="Jayden Robinson"/>
    <s v="Robinson_Jayden_25"/>
    <s v="Robinson"/>
    <x v="1"/>
    <x v="7"/>
    <x v="1"/>
    <m/>
    <m/>
  </r>
  <r>
    <s v="Warren Smith"/>
    <s v="Smith_Warren_25"/>
    <s v="Smith"/>
    <x v="1"/>
    <x v="8"/>
    <x v="1"/>
    <m/>
    <m/>
  </r>
  <r>
    <s v="Adam Taylor"/>
    <s v="Taylor_Adam_25"/>
    <s v="Taylor"/>
    <x v="1"/>
    <x v="9"/>
    <x v="1"/>
    <m/>
    <m/>
  </r>
  <r>
    <s v="Miles Bailey"/>
    <s v="Bailey_Miles_25"/>
    <s v="Bailey"/>
    <x v="2"/>
    <x v="10"/>
    <x v="1"/>
    <m/>
    <m/>
  </r>
  <r>
    <s v="James Gillespie"/>
    <s v="Gillespie_James_25"/>
    <s v="Gillespie"/>
    <x v="2"/>
    <x v="11"/>
    <x v="1"/>
    <m/>
    <m/>
  </r>
  <r>
    <s v="Cal McGough"/>
    <s v="McGough_Cal_25"/>
    <s v="McGough"/>
    <x v="3"/>
    <x v="0"/>
    <x v="0"/>
    <m/>
    <m/>
  </r>
  <r>
    <s v="Dylan Hampsten"/>
    <s v="Hampsten_Dylan_25"/>
    <s v="Hampsten"/>
    <x v="2"/>
    <x v="12"/>
    <x v="1"/>
    <m/>
    <m/>
  </r>
  <r>
    <s v="Jordan Jefferson"/>
    <s v="Jefferson_Jordan_25"/>
    <s v="Jefferson"/>
    <x v="2"/>
    <x v="13"/>
    <x v="1"/>
    <m/>
    <m/>
  </r>
  <r>
    <s v="Connor McDowell"/>
    <s v="McDowell_Connor_25"/>
    <s v="McDowell"/>
    <x v="0"/>
    <x v="0"/>
    <x v="0"/>
    <m/>
    <m/>
  </r>
  <r>
    <s v="Malachi Kindle"/>
    <s v="Kindle_Malachi_25"/>
    <s v="Kindle"/>
    <x v="2"/>
    <x v="14"/>
    <x v="1"/>
    <m/>
    <m/>
  </r>
  <r>
    <s v="Syncere Massey"/>
    <s v="Massey_Syncere_25"/>
    <s v="Massey"/>
    <x v="2"/>
    <x v="15"/>
    <x v="1"/>
    <m/>
    <m/>
  </r>
  <r>
    <s v="Jayland McGlothen"/>
    <s v="McGlothen_Jayland_25"/>
    <s v="McGlothen"/>
    <x v="2"/>
    <x v="16"/>
    <x v="1"/>
    <m/>
    <m/>
  </r>
  <r>
    <s v="Kris Ross"/>
    <s v="Ross_Kris_25"/>
    <s v="Ross"/>
    <x v="2"/>
    <x v="17"/>
    <x v="1"/>
    <m/>
    <m/>
  </r>
  <r>
    <s v="Brennon Scott"/>
    <s v="Scott_Brennon_25"/>
    <s v="Scott"/>
    <x v="2"/>
    <x v="18"/>
    <x v="1"/>
    <m/>
    <m/>
  </r>
  <r>
    <s v="Melvin Swindle"/>
    <s v="Swindle_Melvin_25"/>
    <s v="Swindle"/>
    <x v="2"/>
    <x v="19"/>
    <x v="1"/>
    <m/>
    <m/>
  </r>
  <r>
    <s v="Brodie Tagaloa"/>
    <s v="Tagaloa_Brodie_25"/>
    <s v="Tagaloa"/>
    <x v="2"/>
    <x v="20"/>
    <x v="1"/>
    <m/>
    <m/>
  </r>
  <r>
    <s v="Malik Tullis"/>
    <s v="Tullis_Malik_25"/>
    <s v="Tullis"/>
    <x v="2"/>
    <x v="21"/>
    <x v="1"/>
    <m/>
    <m/>
  </r>
  <r>
    <s v="DeSean Watts"/>
    <s v="Watts_DeSean_25"/>
    <s v="Watts"/>
    <x v="2"/>
    <x v="22"/>
    <x v="1"/>
    <m/>
    <m/>
  </r>
  <r>
    <s v="Xavier Williams"/>
    <s v="Williams_Xavier_25"/>
    <s v="Williams"/>
    <x v="2"/>
    <x v="23"/>
    <x v="1"/>
    <m/>
    <m/>
  </r>
  <r>
    <s v="Hunter Boeddeker"/>
    <s v="Boeddeker_Hunter_25"/>
    <s v="Boeddeker"/>
    <x v="4"/>
    <x v="24"/>
    <x v="1"/>
    <m/>
    <m/>
  </r>
  <r>
    <s v="Jackson Cahoon"/>
    <s v="Cahoon_Jackson_25"/>
    <s v="Cahoon"/>
    <x v="4"/>
    <x v="25"/>
    <x v="1"/>
    <m/>
    <m/>
  </r>
  <r>
    <s v="Diego Davis"/>
    <s v="Davis_Diego_25"/>
    <s v="Davis"/>
    <x v="4"/>
    <x v="26"/>
    <x v="1"/>
    <m/>
    <m/>
  </r>
  <r>
    <s v="Matthew Eskridge"/>
    <s v="Eskridge_Matthew_25"/>
    <s v="Eskridge"/>
    <x v="4"/>
    <x v="27"/>
    <x v="1"/>
    <m/>
    <m/>
  </r>
  <r>
    <s v="Derek Houston"/>
    <s v="Houston_Derek_25"/>
    <s v="Houston"/>
    <x v="4"/>
    <x v="28"/>
    <x v="1"/>
    <m/>
    <m/>
  </r>
  <r>
    <s v="Jekob Jones"/>
    <s v="Jones_Jekob_25"/>
    <s v="Jones"/>
    <x v="4"/>
    <x v="29"/>
    <x v="1"/>
    <m/>
    <m/>
  </r>
  <r>
    <s v="Alex Rocha"/>
    <s v="Rocha_Alex_25"/>
    <s v="Rocha"/>
    <x v="4"/>
    <x v="30"/>
    <x v="1"/>
    <m/>
    <m/>
  </r>
  <r>
    <s v="Mike Taylor"/>
    <s v="Taylor_Mike_25"/>
    <s v="Taylor"/>
    <x v="4"/>
    <x v="31"/>
    <x v="1"/>
    <m/>
    <m/>
  </r>
  <r>
    <s v="Josh Cashiola"/>
    <s v="Cashiola_Josh_25"/>
    <s v="Cashiola"/>
    <x v="5"/>
    <x v="32"/>
    <x v="1"/>
    <m/>
    <m/>
  </r>
  <r>
    <s v="Dylan Gooden"/>
    <s v="Gooden_Dylan_25"/>
    <s v="Gooden"/>
    <x v="5"/>
    <x v="33"/>
    <x v="1"/>
    <m/>
    <m/>
  </r>
  <r>
    <s v="Micah Mosley"/>
    <s v="Mosley_Micah_25"/>
    <s v="Mosley"/>
    <x v="5"/>
    <x v="0"/>
    <x v="1"/>
    <m/>
    <m/>
  </r>
  <r>
    <s v="Fata Puloka"/>
    <s v="Puloka_Fata_25"/>
    <s v="Puloka"/>
    <x v="5"/>
    <x v="34"/>
    <x v="1"/>
    <m/>
    <m/>
  </r>
  <r>
    <s v="Pita Vi"/>
    <s v="Vi_Pita_25"/>
    <s v="Vi"/>
    <x v="5"/>
    <x v="35"/>
    <x v="1"/>
    <m/>
    <m/>
  </r>
  <r>
    <s v="Deven Wright"/>
    <s v="Wright_Deven_25"/>
    <s v="Wright"/>
    <x v="5"/>
    <x v="36"/>
    <x v="1"/>
    <m/>
    <m/>
  </r>
  <r>
    <s v="Koa Akui"/>
    <s v="Akui_Koa_25"/>
    <s v="Akui"/>
    <x v="6"/>
    <x v="37"/>
    <x v="1"/>
    <m/>
    <m/>
  </r>
  <r>
    <s v="Nash Burkart"/>
    <s v="Burkart_Nash_25"/>
    <s v="Burkart"/>
    <x v="6"/>
    <x v="38"/>
    <x v="1"/>
    <m/>
    <m/>
  </r>
  <r>
    <s v="Grant Meadors"/>
    <s v="Meadors_Grant_25"/>
    <s v="Meadors"/>
    <x v="7"/>
    <x v="0"/>
    <x v="0"/>
    <m/>
    <m/>
  </r>
  <r>
    <s v="Lono Chouteau"/>
    <s v="Chouteau_Lono_25"/>
    <s v="Chouteau"/>
    <x v="6"/>
    <x v="39"/>
    <x v="1"/>
    <m/>
    <m/>
  </r>
  <r>
    <s v="Yebrell Emerson"/>
    <s v="Emerson_Yebrell_25"/>
    <s v="Emerson"/>
    <x v="6"/>
    <x v="40"/>
    <x v="1"/>
    <m/>
    <m/>
  </r>
  <r>
    <s v="Diesel Gordon"/>
    <s v="Gordon_Diesel_25"/>
    <s v="Gordon"/>
    <x v="6"/>
    <x v="41"/>
    <x v="1"/>
    <m/>
    <m/>
  </r>
  <r>
    <s v="Kaleb Higgins"/>
    <s v="Higgins_Kaleb_25"/>
    <s v="Higgins"/>
    <x v="6"/>
    <x v="42"/>
    <x v="1"/>
    <m/>
    <m/>
  </r>
  <r>
    <s v="Jamal Hood"/>
    <s v="Hood_Jamal_25"/>
    <s v="Hood"/>
    <x v="6"/>
    <x v="43"/>
    <x v="1"/>
    <m/>
    <m/>
  </r>
  <r>
    <s v="KJ Jefferson"/>
    <s v="Jefferson_KJ_25"/>
    <s v="Jefferson"/>
    <x v="6"/>
    <x v="44"/>
    <x v="1"/>
    <m/>
    <m/>
  </r>
  <r>
    <s v="Anta'Veon McKenzie"/>
    <s v="McKenzie_Anta'Veon_25"/>
    <s v="McKenzie"/>
    <x v="6"/>
    <x v="45"/>
    <x v="1"/>
    <m/>
    <m/>
  </r>
  <r>
    <s v="Naytel Mitchell"/>
    <s v="Mitchell_Naytel_25"/>
    <s v="Mitchell"/>
    <x v="6"/>
    <x v="46"/>
    <x v="1"/>
    <m/>
    <m/>
  </r>
  <r>
    <s v="Oscar Moore"/>
    <s v="Moore_Oscar_25"/>
    <s v="Moore"/>
    <x v="6"/>
    <x v="47"/>
    <x v="1"/>
    <m/>
    <m/>
  </r>
  <r>
    <s v="Jojo Solis"/>
    <s v="Solis_Jojo_25"/>
    <s v="Solis"/>
    <x v="6"/>
    <x v="48"/>
    <x v="1"/>
    <m/>
    <m/>
  </r>
  <r>
    <s v="Jalen Williams"/>
    <s v="Williams_Jalen_25"/>
    <s v="Williams"/>
    <x v="6"/>
    <x v="49"/>
    <x v="1"/>
    <m/>
    <m/>
  </r>
  <r>
    <s v="Sammy Norris"/>
    <s v="Norris_Sammy_25"/>
    <s v="Norris"/>
    <x v="8"/>
    <x v="50"/>
    <x v="2"/>
    <m/>
    <m/>
  </r>
  <r>
    <s v="Dean Abdullah"/>
    <s v="Abdullah_Dean_25"/>
    <s v="Abdullah"/>
    <x v="9"/>
    <x v="51"/>
    <x v="2"/>
    <m/>
    <m/>
  </r>
  <r>
    <s v="Cade Gretlein"/>
    <s v="Gretlein_Cade_25"/>
    <s v="Gretlein"/>
    <x v="9"/>
    <x v="52"/>
    <x v="2"/>
    <m/>
    <m/>
  </r>
  <r>
    <s v="Sawyer Hays"/>
    <s v="Hays_Sawyer_25"/>
    <s v="Hays"/>
    <x v="9"/>
    <x v="53"/>
    <x v="2"/>
    <m/>
    <m/>
  </r>
  <r>
    <s v="Jordan Herman"/>
    <s v="Herman_Jordan_25"/>
    <s v="Herman"/>
    <x v="9"/>
    <x v="54"/>
    <x v="2"/>
    <m/>
    <m/>
  </r>
  <r>
    <s v="Giovanni Kovacs"/>
    <s v="Kovacs_Giovanni_25"/>
    <s v="Kovacs"/>
    <x v="9"/>
    <x v="55"/>
    <x v="2"/>
    <m/>
    <m/>
  </r>
  <r>
    <s v="Graysen Lee"/>
    <s v="Lee_Graysen_25"/>
    <s v="Lee"/>
    <x v="9"/>
    <x v="56"/>
    <x v="2"/>
    <m/>
    <m/>
  </r>
  <r>
    <s v="Davis May"/>
    <s v="May_Davis_25"/>
    <s v="May"/>
    <x v="9"/>
    <x v="57"/>
    <x v="2"/>
    <m/>
    <m/>
  </r>
  <r>
    <s v="Richard McKay"/>
    <s v="McKay_Richard_25"/>
    <s v="McKay"/>
    <x v="9"/>
    <x v="58"/>
    <x v="2"/>
    <m/>
    <m/>
  </r>
  <r>
    <s v="Aidan Meek"/>
    <s v="Meek_Aidan_25"/>
    <s v="Meek"/>
    <x v="9"/>
    <x v="59"/>
    <x v="2"/>
    <m/>
    <m/>
  </r>
  <r>
    <s v="Jaxon Moore"/>
    <s v="Moore_Jaxon_25"/>
    <s v="Moore"/>
    <x v="9"/>
    <x v="60"/>
    <x v="2"/>
    <m/>
    <m/>
  </r>
  <r>
    <s v="Elijah Ortiz"/>
    <s v="Ortiz_Elijah_25"/>
    <s v="Ortiz"/>
    <x v="9"/>
    <x v="61"/>
    <x v="2"/>
    <m/>
    <m/>
  </r>
  <r>
    <s v="Kenndel Riley"/>
    <s v="Riley_Kenndel_25"/>
    <s v="Riley"/>
    <x v="9"/>
    <x v="62"/>
    <x v="2"/>
    <m/>
    <m/>
  </r>
  <r>
    <s v="DeAnthony Sheffield"/>
    <s v="Sheffield_DeAnthony_25"/>
    <s v="Sheffield"/>
    <x v="9"/>
    <x v="0"/>
    <x v="2"/>
    <m/>
    <m/>
  </r>
  <r>
    <s v="Joseph Firebaugh"/>
    <s v="Firebaugh_Joseph_25"/>
    <s v="Firebaugh"/>
    <x v="7"/>
    <x v="0"/>
    <x v="0"/>
    <m/>
    <m/>
  </r>
  <r>
    <s v="Luke Slater"/>
    <s v="Slater_Luke_25"/>
    <s v="Slater"/>
    <x v="9"/>
    <x v="63"/>
    <x v="2"/>
    <m/>
    <m/>
  </r>
  <r>
    <s v="Jose Soto"/>
    <s v="Soto_Jose_25"/>
    <s v="Soto"/>
    <x v="9"/>
    <x v="64"/>
    <x v="2"/>
    <m/>
    <m/>
  </r>
  <r>
    <s v="Brandon Sousa"/>
    <s v="Sousa_Brandon_25"/>
    <s v="Sousa"/>
    <x v="9"/>
    <x v="65"/>
    <x v="2"/>
    <m/>
    <m/>
  </r>
  <r>
    <s v="Joseph Speno"/>
    <s v="Speno_Joseph_25"/>
    <s v="Speno"/>
    <x v="9"/>
    <x v="66"/>
    <x v="2"/>
    <m/>
    <m/>
  </r>
  <r>
    <s v="Jeremiah Stallworth"/>
    <s v="Stallworth_Jeremiah_25"/>
    <s v="Stallworth"/>
    <x v="9"/>
    <x v="67"/>
    <x v="2"/>
    <m/>
    <m/>
  </r>
  <r>
    <s v="Bryson Summers"/>
    <s v="Summers_Bryson_25"/>
    <s v="Summers"/>
    <x v="9"/>
    <x v="68"/>
    <x v="2"/>
    <m/>
    <m/>
  </r>
  <r>
    <s v="Jamar Malone"/>
    <s v="Malone_Jamar_25"/>
    <s v="Malone"/>
    <x v="10"/>
    <x v="69"/>
    <x v="2"/>
    <m/>
    <m/>
  </r>
  <r>
    <s v="Jaden Rashada"/>
    <s v="Rashada_Jaden_25"/>
    <s v="Rashada"/>
    <x v="10"/>
    <x v="70"/>
    <x v="2"/>
    <m/>
    <m/>
  </r>
  <r>
    <s v="Cardell Williams"/>
    <s v="Williams_Cardell_25"/>
    <s v="Williams"/>
    <x v="10"/>
    <x v="71"/>
    <x v="2"/>
    <m/>
    <m/>
  </r>
  <r>
    <s v="Michael Johnson"/>
    <s v="Johnson_Michael_25"/>
    <n v="0"/>
    <x v="11"/>
    <x v="72"/>
    <x v="2"/>
    <m/>
    <m/>
  </r>
  <r>
    <s v="Sam Adams"/>
    <s v="Adams_Sam_25"/>
    <s v="Adams"/>
    <x v="11"/>
    <x v="73"/>
    <x v="2"/>
    <m/>
    <m/>
  </r>
  <r>
    <s v="Curron Borders"/>
    <s v="Borders_Curron_25"/>
    <s v="Borders"/>
    <x v="11"/>
    <x v="74"/>
    <x v="2"/>
    <m/>
    <m/>
  </r>
  <r>
    <s v="Elias Brown"/>
    <s v="Brown_Elias_25"/>
    <s v="Brown"/>
    <x v="11"/>
    <x v="75"/>
    <x v="2"/>
    <m/>
    <m/>
  </r>
  <r>
    <s v="Ajon Bryant"/>
    <s v="Bryant_Ajon_25"/>
    <s v="Bryant"/>
    <x v="11"/>
    <x v="76"/>
    <x v="2"/>
    <m/>
    <m/>
  </r>
  <r>
    <s v="Jamar Curtis"/>
    <s v="Curtis_Jamar_25"/>
    <s v="Curtis"/>
    <x v="11"/>
    <x v="77"/>
    <x v="2"/>
    <m/>
    <m/>
  </r>
  <r>
    <s v="Rodney Hammond"/>
    <s v="Hammond_Rodney_25"/>
    <s v="Hammond"/>
    <x v="11"/>
    <x v="78"/>
    <x v="2"/>
    <m/>
    <m/>
  </r>
  <r>
    <s v="Mike Melanson"/>
    <s v="Melanson_Mike_25"/>
    <s v="Melanson"/>
    <x v="3"/>
    <x v="0"/>
    <x v="0"/>
    <m/>
    <m/>
  </r>
  <r>
    <s v="Damian Henderson"/>
    <s v="II_Damian_25"/>
    <s v="Henderson"/>
    <x v="11"/>
    <x v="79"/>
    <x v="2"/>
    <m/>
    <m/>
  </r>
  <r>
    <s v="Savion Red"/>
    <s v="Red_Savion_25"/>
    <s v="Red"/>
    <x v="11"/>
    <x v="80"/>
    <x v="2"/>
    <m/>
    <m/>
  </r>
  <r>
    <s v="Jaquail Smith"/>
    <s v="Smith_Jaquail_25"/>
    <s v="Smith"/>
    <x v="11"/>
    <x v="81"/>
    <x v="2"/>
    <m/>
    <m/>
  </r>
  <r>
    <s v="Davis Ambuehl"/>
    <s v="Ambuehl_Davis_25"/>
    <s v="Ambuehl"/>
    <x v="12"/>
    <x v="57"/>
    <x v="2"/>
    <m/>
    <m/>
  </r>
  <r>
    <s v="Elijah Huddle"/>
    <s v="Huddle_Elijah_25"/>
    <s v="Huddle"/>
    <x v="12"/>
    <x v="82"/>
    <x v="2"/>
    <m/>
    <m/>
  </r>
  <r>
    <s v="Gavin Nelson"/>
    <s v="Nelson_Gavin_25"/>
    <s v="Nelson"/>
    <x v="12"/>
    <x v="83"/>
    <x v="2"/>
    <m/>
    <m/>
  </r>
  <r>
    <s v="Logan Tanner"/>
    <s v="Tanner_Logan_25"/>
    <s v="Tanner"/>
    <x v="12"/>
    <x v="84"/>
    <x v="2"/>
    <m/>
    <m/>
  </r>
  <r>
    <s v="Bear Tenney"/>
    <s v="Tenney_Bear_25"/>
    <s v="Tenney"/>
    <x v="12"/>
    <x v="85"/>
    <x v="2"/>
    <m/>
    <m/>
  </r>
  <r>
    <s v="Jordan Williams"/>
    <s v="Williams_Jordan_25"/>
    <s v="Williams"/>
    <x v="12"/>
    <x v="86"/>
    <x v="2"/>
    <m/>
    <m/>
  </r>
  <r>
    <s v="Hayden Anderson"/>
    <s v="Anderson_Hayden_25"/>
    <s v="Anderson"/>
    <x v="13"/>
    <x v="87"/>
    <x v="2"/>
    <m/>
    <m/>
  </r>
  <r>
    <s v="Jordan Anderson"/>
    <s v="Anderson_Jordan_25"/>
    <s v="Anderson"/>
    <x v="13"/>
    <x v="88"/>
    <x v="2"/>
    <m/>
    <m/>
  </r>
  <r>
    <s v="Trey Bass"/>
    <s v="Bass_Trey_25"/>
    <s v="Bass"/>
    <x v="13"/>
    <x v="89"/>
    <x v="2"/>
    <m/>
    <m/>
  </r>
  <r>
    <s v="Ernest Campbell"/>
    <s v="Campbell_Ernest_25"/>
    <s v="Campbell"/>
    <x v="13"/>
    <x v="90"/>
    <x v="2"/>
    <m/>
    <m/>
  </r>
  <r>
    <s v="Tim Conerly"/>
    <s v="Conerly_Tim_25"/>
    <s v="Conerly"/>
    <x v="13"/>
    <x v="91"/>
    <x v="2"/>
    <m/>
    <m/>
  </r>
  <r>
    <s v="Tre Fernandez"/>
    <s v="Fernandez_Tre_25"/>
    <s v="Fernandez"/>
    <x v="13"/>
    <x v="92"/>
    <x v="2"/>
    <m/>
    <m/>
  </r>
  <r>
    <s v="Jaxon Fresques"/>
    <s v="Fresques_Jaxon_25"/>
    <s v="Fresques"/>
    <x v="13"/>
    <x v="93"/>
    <x v="2"/>
    <m/>
    <m/>
  </r>
  <r>
    <s v="Drey Garner"/>
    <s v="Garner_Drey_25"/>
    <s v="Garner"/>
    <x v="13"/>
    <x v="94"/>
    <x v="2"/>
    <m/>
    <m/>
  </r>
  <r>
    <s v="Mikey Henderson"/>
    <s v="Henderson_Mikey_25"/>
    <s v="Henderson"/>
    <x v="13"/>
    <x v="0"/>
    <x v="2"/>
    <m/>
    <m/>
  </r>
  <r>
    <s v="Damien McDaniel"/>
    <s v="McDaniel_Damien_25"/>
    <s v="McDaniel"/>
    <x v="13"/>
    <x v="95"/>
    <x v="2"/>
    <m/>
    <m/>
  </r>
  <r>
    <s v="Tye Nickens"/>
    <s v="Nickens_Tye_25"/>
    <s v="Nickens"/>
    <x v="13"/>
    <x v="96"/>
    <x v="2"/>
    <m/>
    <m/>
  </r>
  <r>
    <s v="Dontae Robinson"/>
    <s v="Robinson_Dontae_25"/>
    <s v="Robinson"/>
    <x v="13"/>
    <x v="97"/>
    <x v="2"/>
    <m/>
    <m/>
  </r>
  <r>
    <s v="Onterrio Smith"/>
    <s v="Smith_Onterrio_25"/>
    <s v="Smith"/>
    <x v="13"/>
    <x v="98"/>
    <x v="2"/>
    <m/>
    <m/>
  </r>
  <r>
    <s v="Gavin Thomson"/>
    <s v="Thomson_Gavin_25"/>
    <s v="Thomson"/>
    <x v="13"/>
    <x v="99"/>
    <x v="2"/>
    <m/>
    <m/>
  </r>
  <r>
    <s v="Jace Wilson"/>
    <s v="Wilson_Jace_25"/>
    <s v="Wilson"/>
    <x v="13"/>
    <x v="100"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s v="Lamont Johnson-Burrell"/>
    <s v="Lamont Johnson-Burrell"/>
    <s v="Johnson-Burrell_Lamont_25"/>
    <s v="Johnson-Burrell, La"/>
    <s v="Lamont"/>
    <s v="Johnson-Burrell"/>
    <s v="Lamont Johnson-Burrell"/>
    <s v="Lamont Johnson-Burrell"/>
    <s v="Lamont Johnson-Burrell"/>
    <s v="Johnson-Burrell, Lamont"/>
    <x v="0"/>
    <s v="Skills"/>
    <s v="Johnson-Burrell_Lamont_25"/>
    <s v="Back-Up"/>
  </r>
  <r>
    <x v="0"/>
    <s v="Caleb Reese"/>
    <s v="Caleb Reese"/>
    <s v="Reese_Caleb_25"/>
    <s v="Reese, Ca"/>
    <s v="Caleb"/>
    <s v="Reese"/>
    <s v="Caleb Reese"/>
    <s v="Caleb Reese"/>
    <s v="Caleb Reese"/>
    <s v="Reese, Caleb"/>
    <x v="0"/>
    <s v="Skills"/>
    <s v="Reese_Caleb_25"/>
    <s v="Back-Up"/>
  </r>
  <r>
    <x v="0"/>
    <s v="Jayden Robinson"/>
    <s v="Jayden Robinson"/>
    <s v="Robinson_Jayden_25"/>
    <s v="Robinson, Ja"/>
    <s v="Jayden"/>
    <s v="Robinson"/>
    <s v="Jayden Robinson"/>
    <s v="Jayden Robinson"/>
    <s v="Jayden Robinson"/>
    <s v="Robinson, Jayden"/>
    <x v="0"/>
    <s v="Skills"/>
    <s v="Robinson_Jayden_25"/>
    <s v="Back-Up"/>
  </r>
  <r>
    <x v="0"/>
    <s v="Adam Taylor"/>
    <s v="Adam Taylor"/>
    <s v="Taylor_Adam_25"/>
    <s v="Taylor, Ad"/>
    <s v="Adam"/>
    <s v="Taylor"/>
    <s v="Adam Taylor"/>
    <s v="Adam Taylor"/>
    <s v="Adam  Taylor"/>
    <s v="Taylor, Adam"/>
    <x v="0"/>
    <s v="Skills"/>
    <s v="Taylor_Adam_25"/>
    <s v="Back-Up"/>
  </r>
  <r>
    <x v="0"/>
    <s v="Nash Burkhart"/>
    <s v="Nash Burkhart"/>
    <s v="Burkhart_Nash_25"/>
    <s v="Burkhart, Na"/>
    <s v="Nash"/>
    <s v="Burkhart"/>
    <s v="Nash Burkart"/>
    <s v="Nash Burkart"/>
    <s v="Nash Burkart"/>
    <s v="Burkart, Nash"/>
    <x v="0"/>
    <s v="Skills"/>
    <s v="Burkhart_Nash_25"/>
    <s v="Back-Up"/>
  </r>
  <r>
    <x v="0"/>
    <s v="Dejuan Butler"/>
    <s v="Dejuan Butler"/>
    <s v="Butler_Dejuan_25"/>
    <s v="Butler, De"/>
    <s v="Dejuan"/>
    <s v="Butler"/>
    <s v="DeJuan Butler"/>
    <s v="Dejuan Butler"/>
    <s v="Dejuan Butler"/>
    <s v="Butler, DeJuan"/>
    <x v="0"/>
    <s v="Skills"/>
    <s v="Butler_Dejuan_25"/>
    <s v="Rotation"/>
  </r>
  <r>
    <x v="1"/>
    <s v="Jordan Atkinson"/>
    <s v="Jordan Atkinson"/>
    <s v="Atkinson_Jordan_25"/>
    <s v="Atkinson, Jo"/>
    <s v="Jordan"/>
    <s v="Atkinson"/>
    <s v="Jordan Atkinson"/>
    <s v="Jordan Atkinson"/>
    <m/>
    <s v="Atkinson, Jordan"/>
    <x v="1"/>
    <s v="Mids"/>
    <s v="Herman_Jordan_25"/>
    <m/>
  </r>
  <r>
    <x v="0"/>
    <s v="Warren Smith, Jr."/>
    <s v="Warren Smith"/>
    <s v="Smith_Warren_25"/>
    <s v="Smith, Wa"/>
    <s v="Warren"/>
    <s v="Smith"/>
    <s v="Warren Smith"/>
    <s v="Warren Smith"/>
    <s v="Warren Smith"/>
    <s v="Smith, Warren"/>
    <x v="0"/>
    <s v="Skills"/>
    <s v="Smith_Warren_25"/>
    <s v="Starter"/>
  </r>
  <r>
    <x v="0"/>
    <s v="Jalen Williams"/>
    <s v="Jalen Williams"/>
    <s v="Williams_Jalen_25"/>
    <s v="Williams, Ja"/>
    <s v="Jalen"/>
    <s v="Williams"/>
    <s v="Jalen Williams"/>
    <s v="Jalen Williams"/>
    <s v="Jalen Williams"/>
    <s v="Williams, Jalen"/>
    <x v="0"/>
    <s v="Skills"/>
    <s v="Williams_Jalen_25"/>
    <s v="Rotation"/>
  </r>
  <r>
    <x v="0"/>
    <s v="Ricky Lee III"/>
    <s v="Ricky Lee"/>
    <s v="Lee_Ricky_25"/>
    <s v="Lee, Ri"/>
    <s v="Ricky"/>
    <s v="Lee"/>
    <s v="Ricky Lee"/>
    <s v="Ricky Lee"/>
    <s v="Ricky Lee"/>
    <s v="Lee, Ricky"/>
    <x v="0"/>
    <s v="Skills"/>
    <s v="Lee_Ricky_25"/>
    <s v="Starter"/>
  </r>
  <r>
    <x v="0"/>
    <s v="Elias Mullican"/>
    <s v="Elias Mullican"/>
    <s v="Mullican_Elias_25"/>
    <s v="Mullican, El"/>
    <s v="Elias"/>
    <s v="Mullican"/>
    <s v="Elias Mullican"/>
    <s v="Elias Mullican"/>
    <s v="Elias Mullican"/>
    <s v="Mullican, Elias"/>
    <x v="0"/>
    <s v="Skills"/>
    <s v="Mullican_Elias_25"/>
    <s v="Starter"/>
  </r>
  <r>
    <x v="0"/>
    <s v="Jason Oliver"/>
    <s v="Jason Oliver"/>
    <s v="Oliver_Jason_25"/>
    <s v="Oliver, Ja"/>
    <s v="Jason"/>
    <s v="Oliver"/>
    <s v="Jason Oliver"/>
    <s v="Jason Oliver"/>
    <s v="Jason Oliver"/>
    <s v="Oliver, Jason"/>
    <x v="0"/>
    <s v="Skills"/>
    <s v="Oliver_Jason_25"/>
    <s v="Rotation"/>
  </r>
  <r>
    <x v="0"/>
    <s v="Jordan Jefferson"/>
    <s v="Jordan Jefferson"/>
    <s v="Jefferson_Jordan_25"/>
    <s v="Jefferson, Jo"/>
    <s v="Jordan"/>
    <s v="Jefferson"/>
    <s v="Jordan Jefferson"/>
    <s v="Jordan Jefferson"/>
    <s v="Jordan Jefferson"/>
    <s v="Jefferson, Jordan"/>
    <x v="2"/>
    <s v="Bigs"/>
    <s v="Jefferson_Jordan_25"/>
    <s v="Back-Up"/>
  </r>
  <r>
    <x v="0"/>
    <s v="Malachi Kindle"/>
    <s v="Malachi Kindle"/>
    <s v="Kindle_Malachi_25"/>
    <s v="Kindle, Ma"/>
    <s v="Malachi"/>
    <s v="Kindle"/>
    <s v="Malachi Kindle"/>
    <s v="Malachi Kindle"/>
    <s v="Malachi Kindle"/>
    <s v="Kindle, Malachi"/>
    <x v="2"/>
    <s v="Bigs"/>
    <s v="Kindle_Malachi_25"/>
    <s v="Back-Up"/>
  </r>
  <r>
    <x v="0"/>
    <s v="Brodie Tagaloa"/>
    <s v="Brodie Tagaloa"/>
    <s v="Tagaloa_Brodie_25"/>
    <s v="Tagaloa, Br"/>
    <s v="Brodie"/>
    <s v="Tagaloa"/>
    <s v="Brodie Tagaloa"/>
    <s v="Brodie Tagaloa"/>
    <s v="Brodie Tagaloa"/>
    <s v="Tagaloa, Brodie"/>
    <x v="2"/>
    <s v="Bigs"/>
    <s v="Tagaloa_Brodie_25"/>
    <s v="Back-Up"/>
  </r>
  <r>
    <x v="0"/>
    <s v="Malik Tullis"/>
    <s v="Malik Tullis"/>
    <s v="Tullis_Malik_25"/>
    <s v="Tullis, Ma"/>
    <s v="Malik"/>
    <s v="Tullis"/>
    <s v="Malik Tullis"/>
    <s v="Malik Tullis"/>
    <s v="Malik Tullis"/>
    <s v="Tullis, Malik"/>
    <x v="2"/>
    <s v="Bigs"/>
    <s v="Tullis_Malik_25"/>
    <s v="Back-Up"/>
  </r>
  <r>
    <x v="0"/>
    <s v="James Gillespie"/>
    <s v="James Gillespie"/>
    <s v="Gillespie_James_25"/>
    <s v="Gillespie, Ja"/>
    <s v="James"/>
    <s v="Gillespie"/>
    <s v="James Gillespie"/>
    <s v="James Gillespie"/>
    <s v="James Gillespie"/>
    <s v="Gillespie, James"/>
    <x v="2"/>
    <s v="Bigs"/>
    <s v="Gillespie_James_25"/>
    <s v="Rotation"/>
  </r>
  <r>
    <x v="0"/>
    <s v="Syncere Massey"/>
    <s v="Syncere Massey"/>
    <s v="Massey_Syncere_25"/>
    <s v="Massey, Sy"/>
    <s v="Syncere"/>
    <s v="Massey"/>
    <s v="Syncere Massey"/>
    <s v="Syncere Massey"/>
    <s v="Syncere Massey"/>
    <s v="Massey, Syncere"/>
    <x v="2"/>
    <s v="Bigs"/>
    <s v="Massey_Syncere_25"/>
    <s v="Rotation"/>
  </r>
  <r>
    <x v="0"/>
    <s v="Melvin Swindle II"/>
    <s v="Melvin Swindle"/>
    <s v="Swindle_Melvin_25"/>
    <s v="Swindle, Me"/>
    <s v="Melvin"/>
    <s v="Swindle"/>
    <s v="Melvin Swindle"/>
    <s v="Melvin Swindle"/>
    <s v="Melvin Swindle"/>
    <s v="Swindle, Melvin"/>
    <x v="2"/>
    <s v="Bigs"/>
    <s v="Swindle_Melvin_25"/>
    <s v="Starter"/>
  </r>
  <r>
    <x v="0"/>
    <s v="Miles Bailey"/>
    <s v="Miles Bailey"/>
    <s v="Bailey_Miles_25"/>
    <s v="Bailey, Mi"/>
    <s v="Miles"/>
    <s v="Bailey"/>
    <s v="Miles Bailey"/>
    <s v="Miles Bailey"/>
    <s v="Miles Bailey"/>
    <s v="Bailey, Miles"/>
    <x v="2"/>
    <s v="Bigs"/>
    <s v="Bailey_Miles_25"/>
    <s v="Starter"/>
  </r>
  <r>
    <x v="0"/>
    <s v="Jayland McGlothen"/>
    <s v="Jayland McGlothen"/>
    <s v="McGlothen_Jayland_25"/>
    <s v="McGlothen, Ja"/>
    <s v="Jayland"/>
    <s v="McGlothen"/>
    <s v="Jayland McGlothen"/>
    <s v="Jayland McGlothen"/>
    <s v="Jayland McGlothen"/>
    <s v="McGlothen, Jayland"/>
    <x v="2"/>
    <s v="Bigs"/>
    <s v="McGlothen_Jayland_25"/>
    <s v="Starter"/>
  </r>
  <r>
    <x v="0"/>
    <s v="DeSean Watts"/>
    <s v="DeSean Watts"/>
    <s v="Watts_DeSean_25"/>
    <s v="Watts, De"/>
    <s v="DeSean"/>
    <s v="Watts"/>
    <s v="DeSean Watts"/>
    <s v="DeSean Watts"/>
    <s v="DeSean Watts"/>
    <s v="Watts, Desean"/>
    <x v="2"/>
    <s v="Bigs"/>
    <s v="Watts_DeSean_25"/>
    <s v="Starter"/>
  </r>
  <r>
    <x v="0"/>
    <s v="Xavier Williams"/>
    <s v="Xavier Williams"/>
    <s v="Williams_Xavier_25"/>
    <s v="Williams, Xa"/>
    <s v="Xavier"/>
    <s v="Williams"/>
    <s v="Xavier Williams"/>
    <s v="Xavier Williams"/>
    <s v="Xavier Williams"/>
    <s v="Williams, Xavier"/>
    <x v="2"/>
    <s v="Bigs"/>
    <s v="Williams_Xavier_25"/>
    <s v="Starter"/>
  </r>
  <r>
    <x v="0"/>
    <s v="Sammy Norris"/>
    <s v="Sammy Norris"/>
    <s v="Norris_Sammy_25"/>
    <s v="Norris, Sa"/>
    <s v="Sammy"/>
    <s v="Norris"/>
    <s v="Sammy Norris"/>
    <s v="Sammy Norris"/>
    <s v="Sammy Norris"/>
    <s v="Norris, Sammy"/>
    <x v="3"/>
    <s v="Mids"/>
    <s v="Norris_Sammy_25"/>
    <s v="Rotation"/>
  </r>
  <r>
    <x v="0"/>
    <s v="Luke Slater"/>
    <s v="Luke Slater"/>
    <s v="Slater_Luke_25"/>
    <s v="Slater, Lu"/>
    <s v="Luke"/>
    <s v="Slater"/>
    <s v="Luke Slater"/>
    <s v="Luke Slater"/>
    <s v="Luke Slater"/>
    <s v="Slater, Luke"/>
    <x v="3"/>
    <s v="Mids"/>
    <s v="Slater_Luke_25"/>
    <s v="Rotation"/>
  </r>
  <r>
    <x v="0"/>
    <s v="Hunter Boeddeker"/>
    <s v="Hunter Boeddeker"/>
    <s v="Boeddeker_Hunter_25"/>
    <s v="Boeddeker, Hu"/>
    <s v="Hunter"/>
    <s v="Boeddeker"/>
    <s v="Hunter Boeddeker"/>
    <s v="Hunter Boeddeker"/>
    <s v="Hunter Boeddeker"/>
    <s v="Boeddeker, Hunter"/>
    <x v="4"/>
    <s v="Mids"/>
    <s v="Boeddeker_Hunter_25"/>
    <s v="Back-Up"/>
  </r>
  <r>
    <x v="0"/>
    <s v="Jackson Cahoon"/>
    <s v="Jackson Cahoon"/>
    <s v="Cahoon_Jackson_25"/>
    <s v="Cahoon, Ja"/>
    <s v="Jackson"/>
    <s v="Cahoon"/>
    <s v="Jackson Cahoon"/>
    <s v="Jackson Cahoon"/>
    <s v="Jackson Cahoon"/>
    <s v="Cahoon, Jackson"/>
    <x v="4"/>
    <s v="Mids"/>
    <s v="Cahoon_Jackson_25"/>
    <s v="Back-Up"/>
  </r>
  <r>
    <x v="0"/>
    <s v="Mike Taylor"/>
    <s v="Mike Taylor"/>
    <s v="Taylor_Mike_25"/>
    <s v="Taylor, Mi"/>
    <s v="Mike"/>
    <s v="Taylor"/>
    <s v="Mike Taylor"/>
    <s v="Mike Taylor"/>
    <s v="Mike Taylor"/>
    <s v="Taylor, Mike"/>
    <x v="4"/>
    <s v="Mids"/>
    <s v="Taylor_Mike_25"/>
    <s v="Back-Up"/>
  </r>
  <r>
    <x v="0"/>
    <s v="Matthew Eskridge II"/>
    <s v="Matthew Eskridge"/>
    <s v="Eskridge_Matthew_25"/>
    <s v="Eskridge, Ma"/>
    <s v="Matthew"/>
    <s v="Eskridge"/>
    <s v="Matthew Eskridge"/>
    <s v="Matthew Eskridge"/>
    <s v="Matthew Eskridge"/>
    <s v="Eskridge, Matthew"/>
    <x v="4"/>
    <s v="Mids"/>
    <s v="Eskridge_Matthew_25"/>
    <s v="Back-Up"/>
  </r>
  <r>
    <x v="0"/>
    <s v="KJ Jefferson"/>
    <s v="KJ Jefferson"/>
    <s v="Jefferson_KJ_25"/>
    <s v="Jefferson, KJ"/>
    <s v="KJ"/>
    <s v="Jefferson"/>
    <s v="KJ Jefferson"/>
    <s v="KJ Jefferson"/>
    <s v="KJ Jefferson"/>
    <s v="Jefferson, Karvon"/>
    <x v="4"/>
    <s v="Mids"/>
    <s v="Jefferson_KJ_25"/>
    <s v="Back-Up"/>
  </r>
  <r>
    <x v="0"/>
    <s v="Jekob Jones"/>
    <s v="Jekob Jones"/>
    <s v="Jones_Jekob_25"/>
    <s v="Jones, Je"/>
    <s v="Jekob"/>
    <s v="Jones"/>
    <s v="Jekob Jones"/>
    <s v="Jekob Jones"/>
    <s v="Jekob Jones"/>
    <s v="Jones, Jekob"/>
    <x v="4"/>
    <s v="Mids"/>
    <s v="Jones_Jekob_25"/>
    <s v="Back-Up"/>
  </r>
  <r>
    <x v="0"/>
    <s v="Alex Rocha"/>
    <s v="Alex Rocha"/>
    <s v="Rocha_Alex_25"/>
    <s v="Rocha, Al"/>
    <s v="Alex"/>
    <s v="Rocha"/>
    <s v="Alex Rocha"/>
    <s v="Alex Rocha"/>
    <s v="Alex Rocha"/>
    <s v="Rocha, Alex"/>
    <x v="4"/>
    <s v="Mids"/>
    <s v="Rocha_Alex_25"/>
    <s v="Back-Up"/>
  </r>
  <r>
    <x v="0"/>
    <s v="Max Susini "/>
    <s v="Max Susini "/>
    <s v="Susini_Max_25"/>
    <s v="Susini, Ma"/>
    <s v="Max"/>
    <s v="Susini"/>
    <s v="Max  Susini "/>
    <s v="Max Susini"/>
    <s v="Max Susini "/>
    <s v="Susini, Max"/>
    <x v="4"/>
    <s v="Mids"/>
    <s v="Susini_Max_25"/>
    <s v="Back-Up"/>
  </r>
  <r>
    <x v="0"/>
    <s v="Oscar Moore"/>
    <s v="Oscar Moore"/>
    <s v="Moore_Oscar_25"/>
    <s v="Moore, Os"/>
    <s v="Oscar"/>
    <s v="Moore"/>
    <s v="Oscar Moore"/>
    <s v="Oscar Moore"/>
    <s v="Oscar Moore"/>
    <s v="Moore, Oscar"/>
    <x v="4"/>
    <s v="Mids"/>
    <s v="Moore_Oscar_25"/>
    <s v="Rotation"/>
  </r>
  <r>
    <x v="0"/>
    <s v="Diego Davis"/>
    <s v="Diego Davis"/>
    <s v="Davis_Diego_25"/>
    <s v="Davis, Di"/>
    <s v="Diego"/>
    <s v="Davis"/>
    <s v="Diego Davis"/>
    <s v="Diego Davis"/>
    <s v="Diego Davis"/>
    <s v="Davis, Diego"/>
    <x v="4"/>
    <s v="Mids"/>
    <s v="Davis_Diego_25"/>
    <s v="Starter"/>
  </r>
  <r>
    <x v="0"/>
    <s v="Derek Houston"/>
    <s v="Derek Houston"/>
    <s v="Houston_Derek_25"/>
    <s v="Houston, De"/>
    <s v="Derek"/>
    <s v="Houston"/>
    <s v="Derek Houston"/>
    <s v="Derek Houston"/>
    <s v="Derek Houston"/>
    <s v="Houston, Derek"/>
    <x v="4"/>
    <s v="Mids"/>
    <s v="Houston_Derek_25"/>
    <s v="Starter"/>
  </r>
  <r>
    <x v="0"/>
    <s v="Joseph Firebaugh"/>
    <s v="Joseph Firebaugh"/>
    <s v="Firebaugh_Joseph_25"/>
    <s v="Firebaugh, Jo"/>
    <s v="Joseph"/>
    <s v="Firebaugh"/>
    <s v="Joseph Firebaugh"/>
    <s v="Joseph Firebaugh"/>
    <s v="Joseph Firebaugh"/>
    <s v="Firebaugh, Joseph"/>
    <x v="5"/>
    <s v="Spec"/>
    <s v="Firebaugh_Joseph_25"/>
    <s v="Back-Up"/>
  </r>
  <r>
    <x v="0"/>
    <s v="Grant Meadors"/>
    <s v="Grant Meadors"/>
    <s v="Meadors_Grant_25"/>
    <s v="Meadors, Gr"/>
    <s v="Grant"/>
    <s v="Meadors"/>
    <s v="Grant Meadors"/>
    <s v="Grant Meadors"/>
    <s v="Grant Meadors"/>
    <s v="Meadors, Grant"/>
    <x v="5"/>
    <s v="Spec"/>
    <s v="Meadors_Grant_25"/>
    <s v="Back-Up"/>
  </r>
  <r>
    <x v="0"/>
    <s v="Hamish Adams"/>
    <s v="Hamish Adams"/>
    <s v="Adams_Hamish_25"/>
    <s v="Adams, Ha"/>
    <s v="Hamish"/>
    <s v="Adams"/>
    <s v="Hamish Adam’s"/>
    <s v="Hamish Adams"/>
    <s v="Hamish Adams"/>
    <s v="Adams, Hamish"/>
    <x v="5"/>
    <s v="Spec"/>
    <m/>
    <s v="Back-Up"/>
  </r>
  <r>
    <x v="0"/>
    <s v="Adam Johnston"/>
    <s v="Adam Johnston"/>
    <s v="Johnston_Adam_25"/>
    <s v="Johnston, Ad"/>
    <s v="Adam"/>
    <s v="Johnston"/>
    <s v="Adam Johnston"/>
    <s v="Adam Johnston"/>
    <s v="Adam Johnston"/>
    <s v="Johnston, Adam"/>
    <x v="6"/>
    <s v="Spec"/>
    <s v="Johnston_Adam_25"/>
    <s v="Back-Up"/>
  </r>
  <r>
    <x v="0"/>
    <s v="Connor McDowell"/>
    <s v="Connor McDowell"/>
    <s v="McDowell_Connor_25"/>
    <s v="McDowell, Co"/>
    <s v="Connor"/>
    <s v="McDowell"/>
    <s v="Connor McDowell"/>
    <s v="Connor McDowell"/>
    <s v="Connor McDowell"/>
    <s v="McDowell, Connor"/>
    <x v="6"/>
    <s v="Spec"/>
    <s v="McDowell_Connor_25"/>
    <s v="Back-Up"/>
  </r>
  <r>
    <x v="0"/>
    <s v="Giovanni Kovacs"/>
    <s v="Giovanni Kovacs"/>
    <s v="Kovacs_Giovanni_25"/>
    <s v="Kovacs, Gi"/>
    <s v="Giovanni"/>
    <s v="Kovacs"/>
    <s v="Giovanni Kovacs"/>
    <s v="Giovanni Kovacs"/>
    <s v="Giovanni Kovacs"/>
    <s v="Kovacs, Gio"/>
    <x v="7"/>
    <s v="Bigs"/>
    <s v="Kovacs_Giovanni_25"/>
    <s v="Back-Up"/>
  </r>
  <r>
    <x v="0"/>
    <s v="Graysen Lee"/>
    <s v="Graysen Lee"/>
    <s v="Lee_Graysen_25"/>
    <s v="Lee, Gr"/>
    <s v="Graysen"/>
    <s v="Lee"/>
    <s v="Graysen Lee"/>
    <s v="Graysen Lee"/>
    <m/>
    <s v="Lee, Graysen"/>
    <x v="7"/>
    <s v="Bigs"/>
    <s v="Lee_Graysen_25"/>
    <s v="Back-Up"/>
  </r>
  <r>
    <x v="0"/>
    <s v="Davis May"/>
    <s v="Davis May"/>
    <s v="May_Davis_25"/>
    <s v="May, Da"/>
    <s v="Davis"/>
    <s v="May"/>
    <s v="Davis May"/>
    <s v="Davis May"/>
    <s v="Davis May"/>
    <s v="May, Davis"/>
    <x v="7"/>
    <s v="Bigs"/>
    <s v="May_Davis_25"/>
    <s v="Back-Up"/>
  </r>
  <r>
    <x v="0"/>
    <s v="Richard McKay"/>
    <s v="Richard McKay"/>
    <s v="McKay_Richard_25"/>
    <s v="McKay, Ri"/>
    <s v="Richard"/>
    <s v="McKay"/>
    <s v="Richard McKay"/>
    <s v="Richard McKay"/>
    <s v="Richard McKay"/>
    <s v="McKay, Richard"/>
    <x v="7"/>
    <s v="Bigs"/>
    <s v="McKay_Richard_25"/>
    <s v="Back-Up"/>
  </r>
  <r>
    <x v="0"/>
    <s v="Jaxon Moore"/>
    <s v="Jaxon Moore"/>
    <s v="Moore_Jaxon_25"/>
    <s v="Moore, Ja"/>
    <s v="Jaxon"/>
    <s v="Moore"/>
    <s v="Jaxon Moore"/>
    <s v="Jaxon Moore"/>
    <s v="Jaxon Moore"/>
    <s v="Moore, Jaxon"/>
    <x v="7"/>
    <s v="Bigs"/>
    <s v="Moore_Jaxon_25"/>
    <s v="Back-Up"/>
  </r>
  <r>
    <x v="0"/>
    <s v="Elijah Ortiz"/>
    <s v="Elijah Ortiz"/>
    <s v="Ortiz_Elijah_25"/>
    <s v="Ortiz, El"/>
    <s v="Elijah"/>
    <s v="Ortiz"/>
    <s v="Elijah Ortiz"/>
    <s v="Elijah Ortiz"/>
    <s v="Elijah Ortiz"/>
    <s v="Ortiz, Elijah"/>
    <x v="7"/>
    <s v="Bigs"/>
    <s v="Ortiz_Elijah_25"/>
    <s v="Back-Up"/>
  </r>
  <r>
    <x v="0"/>
    <s v="DeAnthony Sheffield"/>
    <s v="DeAnthony Sheffield"/>
    <s v="Sheffield_DeAnthony_25"/>
    <s v="Sheffield, De"/>
    <s v="DeAnthony"/>
    <s v="Sheffield"/>
    <s v="DeAnthony Sheffield"/>
    <s v="DeAnthony Sheffield"/>
    <s v="DeAnthony Sheffield"/>
    <s v="Sheffield, DeAnthony"/>
    <x v="7"/>
    <s v="Bigs"/>
    <s v="Sheffield_DeAnthony_25"/>
    <s v="Back-Up"/>
  </r>
  <r>
    <x v="0"/>
    <s v="Joseph Speno"/>
    <s v="Joseph Speno"/>
    <s v="Speno_Joseph_25"/>
    <s v="Speno, Jo"/>
    <s v="Joseph"/>
    <s v="Speno"/>
    <s v="Joseph Speno"/>
    <s v="Joseph Speno"/>
    <s v="Joesph Speno"/>
    <s v="Speno, Joe"/>
    <x v="7"/>
    <s v="Bigs"/>
    <s v="Speno_Joseph_25"/>
    <s v="Back-Up"/>
  </r>
  <r>
    <x v="0"/>
    <s v="Jeremiah Stallworth"/>
    <s v="Jeremiah Stallworth"/>
    <s v="Stallworth_Jeremiah_25"/>
    <s v="Stallworth, Je"/>
    <s v="Jeremiah"/>
    <s v="Stallworth"/>
    <s v="Jeremiah Stallworth"/>
    <s v="Jeremiah Stallworth"/>
    <s v="Jeremiah Stallworth"/>
    <s v="Stallworth, Jeremiah"/>
    <x v="7"/>
    <s v="Bigs"/>
    <s v="Stallworth_Jeremiah_25"/>
    <s v="Back-Up"/>
  </r>
  <r>
    <x v="0"/>
    <s v="Cade Gretlein"/>
    <s v="Cade Gretlein"/>
    <s v="Gretlein_Cade_25"/>
    <s v="Gretlein, Ca"/>
    <s v="Cade"/>
    <s v="Gretlein"/>
    <s v="Cade Gretlein"/>
    <s v="Cade Gretlein"/>
    <s v="Cade Gretlein"/>
    <s v="Gretlein, Cade"/>
    <x v="7"/>
    <s v="Bigs"/>
    <s v="Gretlein_Cade_25"/>
    <s v="Back-Up"/>
  </r>
  <r>
    <x v="0"/>
    <s v="Sawyer Hays"/>
    <s v="Sawyer Hays"/>
    <s v="Hays_Sawyer_25"/>
    <s v="Hays, Sa"/>
    <s v="Sawyer"/>
    <s v="Hays"/>
    <s v="Sawyer Hays"/>
    <s v="Sawyer Hays"/>
    <s v="Sawyer Hays"/>
    <s v="Hays, Sawyer"/>
    <x v="7"/>
    <s v="Bigs"/>
    <s v="Hays_Sawyer_25"/>
    <s v="Rotation"/>
  </r>
  <r>
    <x v="0"/>
    <s v="Jordan Herman"/>
    <s v="Jordan Herman"/>
    <s v="Herman_Jordan_25"/>
    <s v="Herman, Jo"/>
    <s v="Jordan"/>
    <s v="Herman"/>
    <s v="Jordan Herman"/>
    <s v="Jordan Herman"/>
    <s v="Jordan Herman"/>
    <s v="Herman, Jordan"/>
    <x v="7"/>
    <s v="Bigs"/>
    <s v="Adams_Sam_25"/>
    <s v="Rotation"/>
  </r>
  <r>
    <x v="0"/>
    <s v="Brandon Sousa"/>
    <s v="Brandon Sousa"/>
    <s v="Sousa_Brandon_25"/>
    <s v="Sousa, Br"/>
    <s v="Brandon"/>
    <s v="Sousa"/>
    <s v="Brandon Sousa"/>
    <s v="Brandon Sousa"/>
    <s v="Brandon Sousa"/>
    <s v="Sousa, Brandon"/>
    <x v="7"/>
    <s v="Bigs"/>
    <s v="Sousa_Brandon_25"/>
    <s v="Rotation"/>
  </r>
  <r>
    <x v="0"/>
    <s v="Bryson Summers"/>
    <s v="Bryson Summers"/>
    <s v="Summers_Bryson_25"/>
    <s v="Summers, Br"/>
    <s v="Bryson"/>
    <s v="Summers"/>
    <s v="Bryson Summers"/>
    <s v="Bryson Summers"/>
    <s v="Bryson Summers"/>
    <s v="Summers, Bryson"/>
    <x v="7"/>
    <s v="Bigs"/>
    <s v="Summers_Bryson_25"/>
    <s v="Back-Up"/>
  </r>
  <r>
    <x v="0"/>
    <s v="Dean Abdullah"/>
    <s v="Dean Abdullah"/>
    <s v="Abdullah_Dean_25"/>
    <s v="Abdullah, De"/>
    <s v="Dean"/>
    <s v="Abdullah"/>
    <s v="Dean Abdullah"/>
    <s v="Dean Abdullah"/>
    <s v="Dean Abdullah"/>
    <s v="Abdullah, Dean"/>
    <x v="7"/>
    <s v="Bigs"/>
    <s v="Abdullah_Dean_25"/>
    <s v="Starter"/>
  </r>
  <r>
    <x v="0"/>
    <s v="Aidan Meek"/>
    <s v="Aidan Meek"/>
    <s v="Meek_Aidan_25"/>
    <s v="Meek, Ai"/>
    <s v="Aidan"/>
    <s v="Meek"/>
    <s v="Aidan Meek"/>
    <s v="Aidan Meek"/>
    <s v="Aidan Meek"/>
    <s v="Meek, Aidan"/>
    <x v="7"/>
    <s v="Bigs"/>
    <s v="Meek_Aidan_25"/>
    <s v="Starter"/>
  </r>
  <r>
    <x v="0"/>
    <s v="Kenndel Riley"/>
    <s v="Kenndel Riley"/>
    <s v="Riley_Kenndel_25"/>
    <s v="Riley, Ke"/>
    <s v="Kenndel"/>
    <s v="Riley"/>
    <s v="Kenndel Riley"/>
    <s v="Kenndel Riley"/>
    <s v="Kenndel Riley"/>
    <s v="Riley, Kenndel"/>
    <x v="7"/>
    <s v="Bigs"/>
    <s v="Riley_Kenndel_25"/>
    <s v="Starter"/>
  </r>
  <r>
    <x v="0"/>
    <s v="Jose Soto"/>
    <s v="Jose Soto"/>
    <s v="Soto_Jose_25"/>
    <s v="Soto, Jo"/>
    <s v="Jose"/>
    <s v="Soto"/>
    <s v="Jose Soto"/>
    <s v="Jose Soto"/>
    <s v="Jose Soto"/>
    <s v="Soto, Jose"/>
    <x v="7"/>
    <s v="Bigs"/>
    <s v="Soto_Jose_25"/>
    <s v="Starter"/>
  </r>
  <r>
    <x v="0"/>
    <s v="Dylan Gooden"/>
    <s v="Dylan Gooden"/>
    <s v="Gooden_Dylan_25"/>
    <s v="Gooden, Dy"/>
    <s v="Dylan"/>
    <s v="Gooden"/>
    <s v="Dylan Gooden"/>
    <s v="Dylan Gooden"/>
    <s v="Dylan Gooden"/>
    <s v="Gooden, Dylan"/>
    <x v="1"/>
    <s v="Mids"/>
    <s v="Gooden_Dylan_25"/>
    <s v="Back-Up"/>
  </r>
  <r>
    <x v="0"/>
    <s v="Micah Mosley"/>
    <s v="Micah Mosley"/>
    <s v="Mosley_Micah_25"/>
    <s v="Mosley, Mi"/>
    <s v="Micah"/>
    <s v="Mosley"/>
    <s v="Micah Mosley"/>
    <s v="Micah Mosley"/>
    <s v="Micah Mosley"/>
    <s v="Mosley, Micah"/>
    <x v="1"/>
    <s v="Mids"/>
    <s v="Mosley_Micah_25"/>
    <s v="Back-Up"/>
  </r>
  <r>
    <x v="0"/>
    <s v="Fata Puloka"/>
    <s v="Fata Puloka"/>
    <s v="Puloka_Fata_25"/>
    <s v="Puloka, Fa"/>
    <s v="Fata"/>
    <s v="Puloka"/>
    <s v="Fata Puloka"/>
    <s v="Fata Puloka"/>
    <s v="Fata Puloka"/>
    <s v="Puloka, Fata"/>
    <x v="1"/>
    <s v="Mids"/>
    <s v="Puloka_Fata_25"/>
    <s v="Back-Up"/>
  </r>
  <r>
    <x v="1"/>
    <s v="Brennon Scott"/>
    <s v="Brennon Scott"/>
    <s v="Scott_Brennon_25"/>
    <s v="Scott, Br"/>
    <s v="Brennon"/>
    <s v="Scott"/>
    <s v="Brennon Scott"/>
    <s v="Brennon Scott"/>
    <s v="Brennon Scott"/>
    <s v="Scott, Brennon"/>
    <x v="1"/>
    <s v="Mids"/>
    <s v="Scott_Brennon_25"/>
    <s v="Back-Up"/>
  </r>
  <r>
    <x v="0"/>
    <s v="Pita Vi"/>
    <s v="Pita Vi"/>
    <s v="Vi_Pita_25"/>
    <s v="Vi, Pi"/>
    <s v="Pita"/>
    <s v="Vi"/>
    <s v="Pita Vi"/>
    <s v="Pita Vi"/>
    <s v="Pita Vi"/>
    <s v="Vi, Pita"/>
    <x v="1"/>
    <s v="Mids"/>
    <s v="Vi_Pita_25"/>
    <s v="Rotation"/>
  </r>
  <r>
    <x v="1"/>
    <s v="Kris Ross"/>
    <s v="Kris Ross"/>
    <s v="Ross_Kris_25"/>
    <s v="Ross, Kr"/>
    <s v="Kris"/>
    <s v="Ross"/>
    <s v="Kristopher Ross"/>
    <s v="Kris Ross"/>
    <s v="Kriss Ross"/>
    <s v="Ross, Kris"/>
    <x v="1"/>
    <s v="Mids"/>
    <s v="Ross_Kris_25"/>
    <m/>
  </r>
  <r>
    <x v="0"/>
    <s v="Deven Wright"/>
    <s v="Deven Wright"/>
    <s v="Wright_Deven_25"/>
    <s v="Wright, De"/>
    <s v="Deven"/>
    <s v="Wright"/>
    <s v="Deven Wright"/>
    <s v="Deven Wright"/>
    <s v="Deven Wright"/>
    <s v="Wright, Deven"/>
    <x v="1"/>
    <s v="Mids"/>
    <s v="Wright_Deven_25"/>
    <s v="Rotation"/>
  </r>
  <r>
    <x v="0"/>
    <s v="Dylan Hampsten"/>
    <s v="Dylan Hampsten"/>
    <s v="Hampsten_Dylan_25"/>
    <s v="Hampsten, Dy"/>
    <s v="Dylan"/>
    <s v="Hampsten"/>
    <s v="Dylan Hampsten"/>
    <s v="Dylan Hampsten"/>
    <s v="Dylan Hampsten"/>
    <s v="Hampsten, Dylan"/>
    <x v="1"/>
    <s v="Mids"/>
    <s v="Hampsten_Dylan_25"/>
    <s v="Starter"/>
  </r>
  <r>
    <x v="0"/>
    <s v="Josh Cashiola"/>
    <s v="Josh Cashiola"/>
    <s v="Cashiola_Josh_25"/>
    <s v="Cashiola, Jo"/>
    <s v="Josh"/>
    <s v="Cashiola"/>
    <s v="Josh Cashiola"/>
    <s v="Josh Cashiola"/>
    <s v="Josh Cashiola"/>
    <s v="Cashiola, Josh"/>
    <x v="1"/>
    <s v="Mids"/>
    <s v="Cashiola_Josh_25"/>
    <s v="Rotation"/>
  </r>
  <r>
    <x v="0"/>
    <s v="Cal McGough"/>
    <s v="Cal McGough"/>
    <s v="McGough_Cal_25"/>
    <s v="McGough, Ca"/>
    <s v="Cal"/>
    <s v="McGough"/>
    <s v="Cal McGough"/>
    <s v="Cal McGough"/>
    <s v="Cal McGough"/>
    <s v="McGough, Cal"/>
    <x v="8"/>
    <s v="Spec"/>
    <s v="McGough_Cal_25"/>
    <s v="Back-Up"/>
  </r>
  <r>
    <x v="0"/>
    <s v="Mike Melanson"/>
    <s v="Mike Melanson"/>
    <s v="Melanson_Mike_25"/>
    <s v="Melanson, Mi"/>
    <s v="Mike"/>
    <s v="Melanson"/>
    <s v="Mike Melanson"/>
    <s v="Mikey Henderson"/>
    <s v="Michael Melanson"/>
    <s v="Melanson, Mike"/>
    <x v="8"/>
    <s v="Spec"/>
    <s v="Melanson_Mike_25"/>
    <s v="Back-Up"/>
  </r>
  <r>
    <x v="0"/>
    <s v="Jamar Malone"/>
    <s v="Jamar Malone"/>
    <s v="Malone_Jamar_25"/>
    <s v="Malone, Ja"/>
    <s v="Jamar"/>
    <s v="Malone"/>
    <s v="Jamar Malone"/>
    <s v="Jamar Malone"/>
    <s v="Jamar Malone"/>
    <s v="Malone, Jamar"/>
    <x v="9"/>
    <s v="Mids"/>
    <s v="Malone_Jamar_25"/>
    <s v="Back-Up"/>
  </r>
  <r>
    <x v="0"/>
    <s v="Cardell Williams"/>
    <s v="Cardell Williams"/>
    <s v="Williams_Cardell_25"/>
    <s v="Williams, Ca"/>
    <s v="Cardell"/>
    <s v="Williams"/>
    <s v="Cardell Williams"/>
    <s v="Cardell Williams"/>
    <s v="Cardell Williams"/>
    <s v="Williams, Cardell"/>
    <x v="9"/>
    <s v="Mids"/>
    <s v="Williams_Cardell_25"/>
    <s v="Starter"/>
  </r>
  <r>
    <x v="0"/>
    <s v="Luke Sprague"/>
    <s v="Luke Sprague"/>
    <s v="Sprague_Luke_25"/>
    <s v="Sprague, Lu"/>
    <s v="Luke"/>
    <s v="Sprague"/>
    <s v="Luke Sprague"/>
    <s v="Luke Sprague"/>
    <s v="Luke Sprague"/>
    <s v="Sprague, Luke"/>
    <x v="9"/>
    <s v="Mids"/>
    <s v="Sprague_Luke_25"/>
    <s v="Back-Up"/>
  </r>
  <r>
    <x v="0"/>
    <s v="Jaden Rashada"/>
    <s v="Jaden Rashada"/>
    <s v="Rashada_Jaden_25"/>
    <s v="Rashada, Ja"/>
    <s v="Jaden"/>
    <s v="Rashada"/>
    <s v="Jaden Rashada"/>
    <s v="Jaden Rashada"/>
    <s v="Jaden Rashada"/>
    <s v="Rashada, Jaden"/>
    <x v="9"/>
    <s v="Mids"/>
    <s v="Rashada_Jaden_25"/>
    <s v="Back-Up"/>
  </r>
  <r>
    <x v="0"/>
    <s v="Curron Borders"/>
    <s v="Curron Borders"/>
    <s v="Borders_Curron_25"/>
    <s v="Borders, Cu"/>
    <s v="Curron"/>
    <s v="Borders"/>
    <s v="Curron Borders"/>
    <s v="Curron Borders"/>
    <s v="Curron Borders"/>
    <s v="Borders, Curron"/>
    <x v="10"/>
    <s v="Mids"/>
    <s v="Borders_Curron_25"/>
    <s v="Back-Up"/>
  </r>
  <r>
    <x v="0"/>
    <s v="Elias Brown"/>
    <s v="Elias Brown"/>
    <s v="Brown_Elias_25"/>
    <s v="Brown, El"/>
    <s v="Elias"/>
    <s v="Brown"/>
    <s v="Elias Brown"/>
    <s v="Elias Brown"/>
    <s v="Elias Brown"/>
    <s v="Brown, Elias"/>
    <x v="10"/>
    <s v="Mids"/>
    <s v="Brown_Elias_25"/>
    <s v="Back-Up"/>
  </r>
  <r>
    <x v="0"/>
    <s v="Jaquail Smith"/>
    <s v="Jaquail Smith"/>
    <s v="Smith_Jaquail_25"/>
    <s v="Smith, Ja"/>
    <s v="Jaquail"/>
    <s v="Smith"/>
    <s v="Jaquail Smith"/>
    <s v="Jaquail Smith"/>
    <s v="Jaquail Smith"/>
    <s v="Smith, Jaquail"/>
    <x v="10"/>
    <s v="Mids"/>
    <s v="Smith_Jaquail_25"/>
    <s v="Back-Up"/>
  </r>
  <r>
    <x v="0"/>
    <s v="Damian Henderson II"/>
    <s v="Damian Henderson"/>
    <s v="Henderson_Damian_25"/>
    <s v="Henderson, Da"/>
    <s v="Damian"/>
    <s v="Henderson"/>
    <s v="Damian Henderson"/>
    <s v="Damian Henderson"/>
    <s v="Damian Henderson"/>
    <s v="Henderson, Damien"/>
    <x v="10"/>
    <s v="Mids"/>
    <s v="Henderson_Damian_25"/>
    <s v="Rotation"/>
  </r>
  <r>
    <x v="0"/>
    <s v="Michael Johnson"/>
    <s v="Michael Johnson"/>
    <s v="Johnson_Michael_25"/>
    <s v="Johnson, Mi"/>
    <m/>
    <m/>
    <s v="Michael Johnson"/>
    <s v="Michael Johnson"/>
    <s v="Michael Johnson"/>
    <s v="Johnson III, Michael"/>
    <x v="10"/>
    <s v="Mids"/>
    <s v="Johnson_Michael_25"/>
    <s v="Back-Up"/>
  </r>
  <r>
    <x v="0"/>
    <s v="Sam Adams II"/>
    <s v="Sam Adams"/>
    <s v="Adams_Sam_25"/>
    <s v="Adams, Sa"/>
    <s v="Sam"/>
    <s v="Adams"/>
    <s v="Sam Adams"/>
    <s v="Sam Adams"/>
    <s v="Sam Adams"/>
    <s v="Adams, Sam"/>
    <x v="10"/>
    <s v="Mids"/>
    <s v="Adams_Sam_25"/>
    <s v="Rotation"/>
  </r>
  <r>
    <x v="0"/>
    <s v="Jamar Curtis"/>
    <s v="Jamar Curtis"/>
    <s v="Curtis_Jamar_25"/>
    <s v="Curtis, Ja"/>
    <s v="Jamar"/>
    <s v="Curtis"/>
    <s v="Jamar Curtis"/>
    <s v="Jamar Curtis"/>
    <s v="Jamar Curtis"/>
    <s v="Curtis, Jamar"/>
    <x v="10"/>
    <s v="Mids"/>
    <s v="Curtis_Jamar_25"/>
    <s v="Starter"/>
  </r>
  <r>
    <x v="0"/>
    <s v="Rodney Hammond, Jr."/>
    <s v="Rodney Hammond"/>
    <s v="Hammond_Rodney_25"/>
    <s v="Hammond, Ro"/>
    <s v="Rodney"/>
    <s v="Hammond"/>
    <s v="Rodney Hammond"/>
    <s v="Rodney Hammond"/>
    <s v="Rodney Hammond"/>
    <s v="Hammond, Rodney"/>
    <x v="10"/>
    <s v="Mids"/>
    <s v="Hammond_Rodney_25"/>
    <s v="Starter"/>
  </r>
  <r>
    <x v="0"/>
    <s v="Savion Red"/>
    <s v="Savion Red"/>
    <s v="Red_Savion_25"/>
    <s v="Red, Sa"/>
    <s v="Savion"/>
    <s v="Red"/>
    <s v="Savion Red "/>
    <s v="Savion Red"/>
    <s v="Savion Red"/>
    <s v="Red, Savion"/>
    <x v="9"/>
    <s v="Mids"/>
    <s v="Red_Savion_25"/>
    <s v="Starter"/>
  </r>
  <r>
    <x v="0"/>
    <s v="Lono Chouteau"/>
    <s v="Lono Chouteau"/>
    <s v="Chouteau_Lono_25"/>
    <s v="Chouteau, Lo"/>
    <s v="Lono"/>
    <s v="Chouteau"/>
    <s v="Lono Chouteau"/>
    <s v="Lono Chouteau"/>
    <s v="Lono Chouteau"/>
    <s v="Chouteau, Lono"/>
    <x v="11"/>
    <s v="Skills"/>
    <s v="Chouteau_Lono_25"/>
    <s v="Back-Up"/>
  </r>
  <r>
    <x v="0"/>
    <s v="Yebrell Emerson"/>
    <s v="Yebrell Emerson"/>
    <s v="Emerson_Yebrell_25"/>
    <s v="Emerson, Ye"/>
    <s v="Yebrell"/>
    <s v="Emerson"/>
    <s v="Yebrell Emerson"/>
    <s v="Yebrell Emerson"/>
    <s v="Yebrell Emerson"/>
    <s v="Emerson, Yeberell"/>
    <x v="11"/>
    <s v="Skills"/>
    <s v="Emerson_Yebrell_25"/>
    <s v="Back-Up"/>
  </r>
  <r>
    <x v="0"/>
    <s v="Jamal Hood"/>
    <s v="Jamal Hood"/>
    <s v="Hood_Jamal_25"/>
    <s v="Hood, Ja"/>
    <s v="Jamal"/>
    <s v="Hood"/>
    <s v="Jamal Hood"/>
    <s v="Jamal Hood"/>
    <s v="Jamal Hood"/>
    <s v="Hood, Jamal"/>
    <x v="11"/>
    <s v="Skills"/>
    <s v="Hood_Jamal_25"/>
    <s v="Back-Up"/>
  </r>
  <r>
    <x v="0"/>
    <s v="Naytel Mitchell"/>
    <s v="Naytel Mitchell"/>
    <s v="Mitchell_Naytel_25"/>
    <s v="Mitchell, Na"/>
    <s v="Naytel"/>
    <s v="Mitchell"/>
    <s v="Naytell Mitchell"/>
    <s v="Naytell Mitchell"/>
    <s v="Naytel Mitchell"/>
    <s v="Mitchell, Naytel"/>
    <x v="11"/>
    <s v="Skills"/>
    <s v="Mitchell_Naytel_25"/>
    <s v="Back-Up"/>
  </r>
  <r>
    <x v="0"/>
    <s v="Jojo Solis"/>
    <s v="Jojo Solis"/>
    <s v="Solis_Jojo_25"/>
    <s v="Solis, Jo"/>
    <s v="Jojo"/>
    <s v="Solis"/>
    <s v="Jojo Solis"/>
    <s v="Jojo Solis"/>
    <s v="Jojo Solis"/>
    <s v="Solis, Jojo"/>
    <x v="11"/>
    <s v="Skills"/>
    <s v="Solis_Jojo_25"/>
    <s v="Back-Up"/>
  </r>
  <r>
    <x v="0"/>
    <s v="Diesel Gordon"/>
    <s v="Diesel Gordon"/>
    <s v="Gordon_Diesel_25"/>
    <s v="Gordon, Di"/>
    <s v="Diesel"/>
    <s v="Gordon"/>
    <s v="Diesel Gordon"/>
    <s v="Diesel Gordon"/>
    <s v="Diesel Gordon"/>
    <s v="Gordon, Diesel"/>
    <x v="11"/>
    <s v="Skills"/>
    <s v="Gordon_Diesel_25"/>
    <s v="Back-Up"/>
  </r>
  <r>
    <x v="0"/>
    <s v="Anta'Veon McKenzie"/>
    <s v="Anta'Veon McKenzie"/>
    <s v="McKenzie_Anta_Veon_25"/>
    <s v="McKenzie, An"/>
    <s v="Anta'Veon"/>
    <s v="McKenzie"/>
    <s v="Anta'Veon McKenzie"/>
    <s v="Anta'Veon McKenzie"/>
    <s v="Anta'Veon McKenzie"/>
    <s v="McKenzie, Anta' Veon"/>
    <x v="11"/>
    <s v="Skills"/>
    <s v="McKenzie_Anta'Veon_25"/>
    <s v="Rotation"/>
  </r>
  <r>
    <x v="0"/>
    <s v="Koa Akui"/>
    <s v="Koa Akui"/>
    <s v="Akui_Koa_25"/>
    <s v="Akui, Ko"/>
    <s v="Koa"/>
    <s v="Akui"/>
    <s v="Koa Akui"/>
    <s v="Koa Akui"/>
    <s v="Koa Akui"/>
    <s v="Akui, Koa"/>
    <x v="11"/>
    <s v="Skills"/>
    <s v="Akui_Koa_25"/>
    <s v="Starter"/>
  </r>
  <r>
    <x v="0"/>
    <s v="Kaleb Higgins"/>
    <s v="Kaleb Higgins"/>
    <s v="Higgins_Kaleb_25"/>
    <s v="Higgins, Ka"/>
    <s v="Kaleb"/>
    <s v="Higgins"/>
    <s v="Kaleb Higgins"/>
    <s v="Kaleb Higgins"/>
    <s v="Kaleb Higgins"/>
    <s v="Higgins, Kaleb"/>
    <x v="11"/>
    <s v="Skills"/>
    <s v="Higgins_Kaleb_25"/>
    <s v="Starter"/>
  </r>
  <r>
    <x v="0"/>
    <s v="Davis Ambuehl"/>
    <s v="Davis Ambuehl"/>
    <s v="Ambuehl_Davis_25"/>
    <s v="Ambuehl, Da"/>
    <s v="Davis"/>
    <s v="Ambuehl"/>
    <s v="Davis Ambuehl"/>
    <s v="Davis Ambuehl"/>
    <s v="Davis Ambuehl"/>
    <s v="Ambuehl, Davis"/>
    <x v="12"/>
    <s v="Mids"/>
    <s v="Ambuehl_Davis_25"/>
    <s v="Back-Up"/>
  </r>
  <r>
    <x v="0"/>
    <s v="Elijah Huddle"/>
    <s v="Elijah Huddle"/>
    <s v="Huddle_Elijah_25"/>
    <s v="Huddle, El"/>
    <s v="Elijah"/>
    <s v="Huddle"/>
    <s v="Elijah Huddle"/>
    <s v="Elijah Huddle"/>
    <s v="Elijah Huddle"/>
    <s v="Huddle, Elijah"/>
    <x v="12"/>
    <s v="Mids"/>
    <s v="Huddle_Elijah_25"/>
    <s v="Back-Up"/>
  </r>
  <r>
    <x v="0"/>
    <s v="Bear Tenney"/>
    <s v="Bear Tenney"/>
    <s v="Tenney_Bear_25"/>
    <s v="Tenney, Be"/>
    <s v="Bear"/>
    <s v="Tenney"/>
    <s v="Bear Tenney"/>
    <s v="Bear Tenney"/>
    <s v="Bear Tenney"/>
    <s v="Tenney, Bear"/>
    <x v="12"/>
    <s v="Mids"/>
    <s v="Tenney_Bear_25"/>
    <s v="Back-Up"/>
  </r>
  <r>
    <x v="0"/>
    <s v="Dontae Robinson"/>
    <s v="Dontae Robinson"/>
    <s v="Robinson_Dontae_25"/>
    <s v="Robinson, Do"/>
    <s v="Dontae"/>
    <s v="Robinson"/>
    <s v="Dontae Robinson"/>
    <s v="Dontae Robinson"/>
    <s v="Dontae Robinson"/>
    <s v="Robinson, Dontae"/>
    <x v="13"/>
    <s v="Skills"/>
    <s v="Robinson_Dontae_25"/>
    <s v="Back-Up"/>
  </r>
  <r>
    <x v="0"/>
    <s v="Gavin Nelson"/>
    <s v="Gavin Nelson"/>
    <s v="Nelson_Gavin_25"/>
    <s v="Nelson, Ga"/>
    <s v="Gavin"/>
    <s v="Nelson"/>
    <s v="Gavin Nelson"/>
    <s v="Gavin Nelson"/>
    <s v="Gavin Nelson"/>
    <s v="Nelson, Gavin"/>
    <x v="12"/>
    <s v="Mids"/>
    <s v="Nelson_Gavin_25"/>
    <s v="Rotation"/>
  </r>
  <r>
    <x v="0"/>
    <s v="Jordan Williams"/>
    <s v="Jordan Williams"/>
    <s v="Williams_Jordan_25"/>
    <s v="Williams, Jo"/>
    <s v="Jordan"/>
    <s v="Williams"/>
    <s v="Jordan Williams"/>
    <s v="Jordan Williams"/>
    <s v="Jordan Williams"/>
    <s v="Williams, Jordan"/>
    <x v="12"/>
    <s v="Mids"/>
    <s v="Williams_Jordan_25"/>
    <s v="Starter"/>
  </r>
  <r>
    <x v="0"/>
    <s v="Ajon Bryant"/>
    <s v="Ajon Bryant"/>
    <s v="Bryant_Ajon_25"/>
    <s v="Bryant, Aj"/>
    <s v="Ajon"/>
    <s v="Bryant"/>
    <s v="Ajon Bryant"/>
    <s v="Ajon Bryant"/>
    <s v="Ajon Bryant"/>
    <s v="Bryant, Ajon"/>
    <x v="13"/>
    <s v="Skills"/>
    <s v="Bryant_Ajon_25"/>
    <s v="Rotation"/>
  </r>
  <r>
    <x v="0"/>
    <s v="Hayden Anderson"/>
    <s v="Hayden Anderson"/>
    <s v="Anderson_Hayden_25"/>
    <s v="Anderson, Ha"/>
    <s v="Hayden"/>
    <s v="Anderson"/>
    <s v="Hayden Anderson"/>
    <s v="Hayden Anderson"/>
    <s v="Hayden Anderson"/>
    <s v="Anderson, Hayden"/>
    <x v="13"/>
    <s v="Skills"/>
    <s v="Anderson_Hayden_25"/>
    <s v="Back-Up"/>
  </r>
  <r>
    <x v="0"/>
    <s v="Trey Bass"/>
    <s v="Trey Bass"/>
    <s v="Bass_Trey_25"/>
    <s v="Bass, Tr"/>
    <s v="Trey"/>
    <s v="Bass"/>
    <s v="Trey Bass"/>
    <s v="Trey Bass"/>
    <s v="Trey Bass"/>
    <s v="Bass, Trey"/>
    <x v="13"/>
    <s v="Skills"/>
    <s v="Bass_Trey_25"/>
    <s v="Back-Up"/>
  </r>
  <r>
    <x v="0"/>
    <s v="Tre Fernandez"/>
    <s v="Tre Fernandez"/>
    <s v="Fernandez_Tre_25"/>
    <s v="Fernandez, Tr"/>
    <s v="Tre"/>
    <s v="Fernandez"/>
    <s v="Tre Fernandez"/>
    <s v="Tre Fernandez"/>
    <s v="Tre Fernandez"/>
    <s v="Fernandez, Tre"/>
    <x v="13"/>
    <s v="Skills"/>
    <s v="Fernandez_Tre_25"/>
    <s v="Back-Up"/>
  </r>
  <r>
    <x v="0"/>
    <s v="Drey Garner"/>
    <s v="Drey Garner"/>
    <s v="Garner_Drey_25"/>
    <s v="Garner, Dr"/>
    <s v="Drey"/>
    <s v="Garner"/>
    <s v="Drey Garner"/>
    <s v="Drey Garner"/>
    <s v="Drey Garner"/>
    <s v="Garner, Drey"/>
    <x v="13"/>
    <s v="Skills"/>
    <s v="Garner_Drey_25"/>
    <s v="Back-Up"/>
  </r>
  <r>
    <x v="0"/>
    <s v="Tye Nickens"/>
    <s v="Tye Nickens"/>
    <s v="Nickens_Tye_25"/>
    <s v="Nickens, Ty"/>
    <s v="Tye"/>
    <s v="Nickens"/>
    <s v="Tye Nickens"/>
    <s v="Tye Nickens"/>
    <s v="Tye Nickens"/>
    <s v="Nickens, Tye"/>
    <x v="13"/>
    <s v="Skills"/>
    <s v="Nickens_Tye_25"/>
    <s v="Back-Up"/>
  </r>
  <r>
    <x v="0"/>
    <s v="Onterrio Smith, Jr."/>
    <s v="Onterrio Smith"/>
    <s v="Smith_Onterrio_25"/>
    <s v="Smith, On"/>
    <s v="Onterrio"/>
    <s v="Smith"/>
    <s v="Onterrio Smith"/>
    <s v="Onterrio Smith"/>
    <s v="Onterrio Smith"/>
    <s v="Smith, Onterrio"/>
    <x v="13"/>
    <s v="Skills"/>
    <s v="Smith_Onterrio_25"/>
    <s v="Rotation"/>
  </r>
  <r>
    <x v="0"/>
    <s v="Jace Wilson"/>
    <s v="Jace Wilson"/>
    <s v="Wilson_Jace_25"/>
    <s v="Wilson, Ja"/>
    <s v="Jace"/>
    <s v="Wilson"/>
    <s v="Jace Wilson"/>
    <s v="Jace Wilson"/>
    <s v="Jace Wilson"/>
    <s v="Wilson, Jace"/>
    <x v="13"/>
    <s v="Skills"/>
    <s v="Wilson_Jace_25"/>
    <s v="Back-Up"/>
  </r>
  <r>
    <x v="0"/>
    <s v="Ernest Campbell"/>
    <s v="Ernest Campbell"/>
    <s v="Campbell_Ernest_25"/>
    <s v="Campbell, Er"/>
    <s v="Ernest"/>
    <s v="Campbell"/>
    <s v="Ernest Campbell"/>
    <s v="Ernest Campbell"/>
    <s v="Ernest Campbell"/>
    <s v="Campbell, Ernest"/>
    <x v="13"/>
    <s v="Skills"/>
    <s v="Campbell_Ernest_25"/>
    <s v="Back-Up"/>
  </r>
  <r>
    <x v="0"/>
    <s v="Damien McDaniel"/>
    <s v="Damien McDaniel"/>
    <s v="McDaniel_Damien_25"/>
    <s v="McDaniel, Da"/>
    <s v="Damien"/>
    <s v="McDaniel"/>
    <s v="Damien McDaniel"/>
    <s v="Damien McDaniel"/>
    <s v="Damien McDaniel"/>
    <s v="McDaniel, Damien"/>
    <x v="13"/>
    <s v="Skills"/>
    <s v="McDaniel_Damien_25"/>
    <s v="Back-Up"/>
  </r>
  <r>
    <x v="0"/>
    <s v="Agiye Hall"/>
    <s v="Agiye Hall"/>
    <s v="Hall_Agiye_25"/>
    <s v="Hall, Ag"/>
    <s v="Agiye"/>
    <s v="Hall"/>
    <s v="Agiye Hall"/>
    <s v="Agiye Hall"/>
    <s v="Agiye Hall"/>
    <s v="Hall, Agiye"/>
    <x v="13"/>
    <s v="Skills"/>
    <s v="Hall_Agiye_25"/>
    <s v="Back-Up"/>
  </r>
  <r>
    <x v="0"/>
    <s v="Jordan Anderson"/>
    <s v="Jordan Anderson"/>
    <s v="Anderson_Jordan_25"/>
    <s v="Anderson, Jo"/>
    <s v="Jordan"/>
    <s v="Anderson"/>
    <s v="Jordan Anderson"/>
    <s v="Jordan Anderson"/>
    <s v="Jordan Anderson"/>
    <s v="Anderson, Jordan"/>
    <x v="13"/>
    <s v="Skills"/>
    <s v="Anderson_Jordan_25"/>
    <s v="Starter"/>
  </r>
  <r>
    <x v="1"/>
    <m/>
    <m/>
    <s v="Patton_Alex_24"/>
    <s v=", "/>
    <m/>
    <m/>
    <s v="Alex Patton"/>
    <m/>
    <m/>
    <m/>
    <x v="14"/>
    <s v=""/>
    <s v="Melanson_Mike_25"/>
    <m/>
  </r>
  <r>
    <x v="1"/>
    <m/>
    <m/>
    <s v="Lands_Christopher_24"/>
    <s v=", "/>
    <m/>
    <m/>
    <s v="Christopher Lands"/>
    <m/>
    <m/>
    <m/>
    <x v="14"/>
    <s v=""/>
    <m/>
    <m/>
  </r>
  <r>
    <x v="1"/>
    <m/>
    <m/>
    <s v="Robles_Ajay_25"/>
    <s v=", "/>
    <m/>
    <m/>
    <s v="Ajay Robles"/>
    <m/>
    <m/>
    <m/>
    <x v="14"/>
    <s v=""/>
    <m/>
    <m/>
  </r>
  <r>
    <x v="1"/>
    <m/>
    <m/>
    <s v="Gue_Allbranly_25"/>
    <s v=", "/>
    <m/>
    <m/>
    <s v="Allbranly Gue"/>
    <m/>
    <m/>
    <m/>
    <x v="14"/>
    <s v=""/>
    <m/>
    <m/>
  </r>
  <r>
    <x v="1"/>
    <m/>
    <m/>
    <s v="Carey_Montgomery_25"/>
    <s v=", "/>
    <m/>
    <m/>
    <s v="Montgomery Carey"/>
    <m/>
    <m/>
    <m/>
    <x v="14"/>
    <s v=""/>
    <m/>
    <m/>
  </r>
  <r>
    <x v="1"/>
    <m/>
    <m/>
    <s v="Conklin_Carson_25"/>
    <s v=", "/>
    <m/>
    <m/>
    <s v="Carson Conklin"/>
    <m/>
    <m/>
    <m/>
    <x v="14"/>
    <s v=""/>
    <m/>
    <m/>
  </r>
  <r>
    <x v="1"/>
    <m/>
    <m/>
    <s v="Skytta_Emil_25"/>
    <s v=", "/>
    <m/>
    <m/>
    <s v="Emil Skytta"/>
    <m/>
    <m/>
    <m/>
    <x v="14"/>
    <s v=""/>
    <m/>
    <m/>
  </r>
  <r>
    <x v="1"/>
    <m/>
    <m/>
    <s v="Allen_Daizon_25"/>
    <s v=", "/>
    <m/>
    <m/>
    <s v="Daizon Allen"/>
    <m/>
    <m/>
    <m/>
    <x v="14"/>
    <s v=""/>
    <m/>
    <m/>
  </r>
  <r>
    <x v="1"/>
    <m/>
    <m/>
    <s v="Dahdouh_Stephen_25"/>
    <s v=", "/>
    <m/>
    <m/>
    <s v="Stephen Dahdouh"/>
    <m/>
    <m/>
    <m/>
    <x v="14"/>
    <s v=""/>
    <m/>
    <m/>
  </r>
  <r>
    <x v="0"/>
    <s v="Tim Conerly"/>
    <s v="Tim Conerly"/>
    <s v="Conerly_Tim_25"/>
    <s v="Conerly, Ti"/>
    <s v="Tim"/>
    <s v="Conerly"/>
    <s v="Tim Conerly"/>
    <s v="Tim Conerly"/>
    <s v="Tim Conerly"/>
    <s v="Conerly, Tim"/>
    <x v="13"/>
    <s v="Skills"/>
    <s v="Conerly_Tim_25"/>
    <s v="Starter"/>
  </r>
  <r>
    <x v="1"/>
    <s v="Melquise Stovall"/>
    <s v="Melquise Stovall"/>
    <s v="Stovall_Melquise_24"/>
    <s v="Stovall, Me"/>
    <s v="Melquise"/>
    <s v="Stovall"/>
    <m/>
    <s v="Melquise Stovall"/>
    <m/>
    <s v="Stovall, Melquise"/>
    <x v="15"/>
    <s v=""/>
    <s v="Stovall_Melquise_24"/>
    <s v="Back-Up"/>
  </r>
  <r>
    <x v="1"/>
    <s v="Logan Tanner"/>
    <s v="Logan Tanner"/>
    <s v="Tanner_Logan_25"/>
    <s v="Tanner, Lo"/>
    <s v="Logan"/>
    <s v="Tanner"/>
    <s v="Logan Tanner"/>
    <s v="Logan Tanner"/>
    <s v="Logan Tanner"/>
    <s v="Logan, Tanner"/>
    <x v="15"/>
    <s v=""/>
    <s v="Tanner_Logan_25"/>
    <s v="Back-Up"/>
  </r>
  <r>
    <x v="0"/>
    <s v="Jaxon Fresques"/>
    <s v="Jaxon Fresques"/>
    <s v="Fresques_Jaxon_25"/>
    <s v="Fresques, Ja"/>
    <s v="Jaxon"/>
    <s v="Fresques"/>
    <s v="Jaxon Fresques"/>
    <s v="Jaxon Fresques"/>
    <s v="Jaxon Fresques"/>
    <s v="Fresques, Jaxon"/>
    <x v="13"/>
    <s v="Skills"/>
    <s v="Fresques_Jaxon_25"/>
    <s v="Rotation"/>
  </r>
  <r>
    <x v="0"/>
    <s v="Gavin Thomson"/>
    <s v="Gavin Thomson"/>
    <s v="Thomson_Gavin_25"/>
    <s v="Thomson, Ga"/>
    <s v="Gavin"/>
    <s v="Thomson"/>
    <s v="Gavin Thomson"/>
    <s v="Gavin Thomson"/>
    <s v="Gavin Thomson"/>
    <s v="Thomson, Gavin"/>
    <x v="13"/>
    <s v="Skills"/>
    <s v="Thomson_Gavin_25"/>
    <s v="Star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70F29-9D9F-430F-91C8-FEEDBA84419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15"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7">
        <item x="14"/>
        <item x="0"/>
        <item x="2"/>
        <item x="3"/>
        <item x="4"/>
        <item x="5"/>
        <item x="6"/>
        <item x="7"/>
        <item x="1"/>
        <item x="8"/>
        <item x="9"/>
        <item x="10"/>
        <item x="11"/>
        <item x="12"/>
        <item x="13"/>
        <item x="15"/>
        <item t="default"/>
      </items>
    </pivotField>
    <pivotField showAll="0"/>
    <pivotField showAll="0"/>
    <pivotField showAll="0"/>
  </pivotFields>
  <rowFields count="1">
    <field x="11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 item="0" hier="-1"/>
  </pageFields>
  <dataFields count="1">
    <dataField name="Count of Position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DBD9C-983D-47AB-9A81-76DE4F4411D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8">
    <pivotField showAll="0"/>
    <pivotField showAll="0"/>
    <pivotField showAll="0"/>
    <pivotField axis="axisRow" dataField="1" showAll="0">
      <items count="15">
        <item x="10"/>
        <item x="13"/>
        <item x="11"/>
        <item x="12"/>
        <item x="9"/>
        <item x="2"/>
        <item x="1"/>
        <item x="8"/>
        <item x="4"/>
        <item x="7"/>
        <item x="0"/>
        <item x="5"/>
        <item x="3"/>
        <item x="6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2">
    <field x="5"/>
    <field x="3"/>
  </rowFields>
  <rowItems count="18">
    <i>
      <x/>
    </i>
    <i r="1">
      <x v="5"/>
    </i>
    <i r="1">
      <x v="6"/>
    </i>
    <i r="1">
      <x v="8"/>
    </i>
    <i r="1">
      <x v="11"/>
    </i>
    <i r="1">
      <x v="13"/>
    </i>
    <i>
      <x v="1"/>
    </i>
    <i r="1">
      <x/>
    </i>
    <i r="1">
      <x v="1"/>
    </i>
    <i r="1">
      <x v="2"/>
    </i>
    <i r="1">
      <x v="3"/>
    </i>
    <i r="1">
      <x v="4"/>
    </i>
    <i r="1">
      <x v="7"/>
    </i>
    <i>
      <x v="2"/>
    </i>
    <i r="1">
      <x v="9"/>
    </i>
    <i r="1">
      <x v="10"/>
    </i>
    <i r="1">
      <x v="12"/>
    </i>
    <i t="grand">
      <x/>
    </i>
  </rowItems>
  <colItems count="1">
    <i/>
  </colItems>
  <dataFields count="1">
    <dataField name="Count of Pos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71396-61DE-4A18-A1D4-08925B781FEC}" name="Master_Roster" displayName="Master_Roster" ref="A1:O125" headerRowDxfId="100" dataDxfId="99" tableBorderDxfId="98">
  <autoFilter ref="A1:O125" xr:uid="{2C671396-61DE-4A18-A1D4-08925B781FEC}">
    <filterColumn colId="0">
      <filters>
        <filter val="Active"/>
      </filters>
    </filterColumn>
  </autoFilter>
  <sortState xmlns:xlrd2="http://schemas.microsoft.com/office/spreadsheetml/2017/richdata2" ref="A4:O110">
    <sortCondition ref="L1:L123"/>
  </sortState>
  <tableColumns count="15">
    <tableColumn id="9" xr3:uid="{4F35DB75-DD6B-4187-BD81-80F4CD8C4F27}" name="Team" dataDxfId="97" totalsRowDxfId="96"/>
    <tableColumn id="1" xr3:uid="{CB0C19B2-9E1A-404F-9274-9942F2D8814D}" name="Roster Name" totalsRowLabel="Total" dataDxfId="95" totalsRowDxfId="94"/>
    <tableColumn id="2" xr3:uid="{F152EB54-56E2-4056-87C2-5650A58DBE67}" name="Simple Name" dataDxfId="93" totalsRowDxfId="92"/>
    <tableColumn id="3" xr3:uid="{9DF99C8F-C0CD-46B4-BEAA-D84F858EF35B}" name="Offical ID" dataDxfId="91" totalsRowDxfId="90"/>
    <tableColumn id="11" xr3:uid="{6AB9A950-D165-44CD-A7C0-D7895EFB5FA9}" name="Initial_Name" dataDxfId="89" totalsRowDxfId="88">
      <calculatedColumnFormula>CONCATENATE(Master_Roster[[#This Row],[Last Name]],", ",MID(Master_Roster[[#This Row],[First Name]],1,2))</calculatedColumnFormula>
    </tableColumn>
    <tableColumn id="4" xr3:uid="{CEB83C79-F490-4548-9F96-710420352DD2}" name="First Name" dataDxfId="87" totalsRowDxfId="86"/>
    <tableColumn id="5" xr3:uid="{938608EB-C52D-4A9C-BEE2-6BB4057D4CAB}" name="Last Name" dataDxfId="85" totalsRowDxfId="84"/>
    <tableColumn id="6" xr3:uid="{6E320E22-4F90-4C60-AE61-0DD848C75715}" name="Vald Name" dataDxfId="83" totalsRowDxfId="82"/>
    <tableColumn id="7" xr3:uid="{347D7778-4F22-4A44-8CF7-3C58FD9BF06E}" name="Kinexon Name" dataDxfId="81" totalsRowDxfId="80"/>
    <tableColumn id="8" xr3:uid="{D6EBD2DE-CAB3-4A5B-8867-3F6FB74E2082}" name="Perch Name" totalsRowFunction="count" dataDxfId="79" totalsRowDxfId="78"/>
    <tableColumn id="13" xr3:uid="{5CF00A84-6BA9-4B06-A13A-142AA1D26317}" name="Data Hub Name" dataDxfId="77" totalsRowDxfId="76">
      <calculatedColumnFormula>CONCATENATE(Master_Roster[[#This Row],[Last Name]],", ",Master_Roster[[#This Row],[First Name]])</calculatedColumnFormula>
    </tableColumn>
    <tableColumn id="10" xr3:uid="{960FE740-D05D-4ACA-AE89-B043991F4654}" name="Position" dataDxfId="75" totalsRowDxfId="74">
      <calculatedColumnFormula>IFERROR(VLOOKUP(Master_Roster[[#This Row],[Offical ID]],'Online Roster'!L$3:M$112,2,FALSE),"")</calculatedColumnFormula>
    </tableColumn>
    <tableColumn id="12" xr3:uid="{5AFA097F-1AC0-4C3A-A867-1C4F741B8311}" name="Position Class" dataDxfId="73" totalsRowDxfId="72">
      <calculatedColumnFormula array="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calculatedColumnFormula>
    </tableColumn>
    <tableColumn id="15" xr3:uid="{D84B5763-1983-4CB5-AAFF-4F29AA09CD95}" name="Offical ID2" dataDxfId="71" totalsRowDxfId="70">
      <calculatedColumnFormula>Master_Roster[[#This Row],[Offical ID]]</calculatedColumnFormula>
    </tableColumn>
    <tableColumn id="14" xr3:uid="{487FFAF0-96CA-46DC-839A-392219B35A68}" name="Starters" dataDxfId="69" totalsRowDxfId="6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52A8B9-F374-4E23-9721-02ACD53DA655}" name="Table3" displayName="Table3" ref="A1:E111" totalsRowShown="0" dataDxfId="67">
  <autoFilter ref="A1:E111" xr:uid="{7752A8B9-F374-4E23-9721-02ACD53DA655}"/>
  <sortState xmlns:xlrd2="http://schemas.microsoft.com/office/spreadsheetml/2017/richdata2" ref="A2:E111">
    <sortCondition ref="D1:D111"/>
  </sortState>
  <tableColumns count="5">
    <tableColumn id="1" xr3:uid="{87EC8D2B-B859-4EBB-9760-65E93EAFB7FC}" name="Name" dataDxfId="66"/>
    <tableColumn id="2" xr3:uid="{7A1AD9C2-DA1A-4B94-979A-A409F8F1555B}" name="Position" dataDxfId="65"/>
    <tableColumn id="3" xr3:uid="{532AA492-8AC6-490F-939E-6DA4BA945673}" name="Position Class" dataDxfId="64"/>
    <tableColumn id="4" xr3:uid="{BDFF2496-9960-4457-B4E9-6C350F961BF5}" name="Tues 7/22 Group" dataDxfId="63"/>
    <tableColumn id="5" xr3:uid="{4F40E75A-889E-4CDB-AFDE-A049FAE3085A}" name="Starting Station" dataDxfId="6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6F5450-CD98-47E0-BDCB-51A1A471053D}" name="Table5" displayName="Table5" ref="A2:N113" totalsRowShown="0" headerRowDxfId="61">
  <autoFilter ref="A2:N113" xr:uid="{646F5450-CD98-47E0-BDCB-51A1A471053D}"/>
  <sortState xmlns:xlrd2="http://schemas.microsoft.com/office/spreadsheetml/2017/richdata2" ref="A3:M112">
    <sortCondition ref="E2:E112"/>
  </sortState>
  <tableColumns count="14">
    <tableColumn id="1" xr3:uid="{EF109953-450E-4A62-8B97-B83BCC816378}" name="No." dataDxfId="60"/>
    <tableColumn id="2" xr3:uid="{7CE37651-6FA4-4D2B-93EF-1B21BC6877CA}" name="Name" dataDxfId="59"/>
    <tableColumn id="3" xr3:uid="{A20779EC-75FC-46F6-A566-D645D5EDA295}" name="Pos." dataDxfId="58"/>
    <tableColumn id="4" xr3:uid="{E3FB0178-ECB9-447D-89E0-00954654EF19}" name="Ht." dataDxfId="57"/>
    <tableColumn id="5" xr3:uid="{97F8CF3E-AA15-424C-AA58-C9C3E706B939}" name="Wt." dataDxfId="56"/>
    <tableColumn id="6" xr3:uid="{FCCD51E8-D9DC-4CE9-A180-E3C19E1A3CDB}" name="Yr." dataDxfId="55"/>
    <tableColumn id="7" xr3:uid="{DA3DEA32-538F-45D7-8F45-2BDA518BE5CC}" name="Exp." dataDxfId="54"/>
    <tableColumn id="8" xr3:uid="{52D6F8A1-5933-4C3E-A114-FF7229B70B2B}" name="Hometown" dataDxfId="53"/>
    <tableColumn id="9" xr3:uid="{8D2FEB7F-1081-4DD1-80D7-23D2D653FAD5}" name="High School" dataDxfId="52"/>
    <tableColumn id="10" xr3:uid="{4367C234-680F-4FCB-962F-6FB2651C6570}" name="Previous School" dataDxfId="51"/>
    <tableColumn id="11" xr3:uid="{906AA209-22E8-4924-AA79-06DF76803FEA}" name="Simple Name" dataDxfId="50"/>
    <tableColumn id="12" xr3:uid="{F59C8FED-3CA3-4CCD-8A5B-F042B8805261}" name="Offical Id">
      <calculatedColumnFormula array="1">_xlfn.LET(
    _xlpm.name, TRIM(B3),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calculatedColumnFormula>
    </tableColumn>
    <tableColumn id="13" xr3:uid="{B25EB3AB-7D96-46C5-8EF0-833966332F5E}" name="Column1" dataDxfId="49"/>
    <tableColumn id="14" xr3:uid="{A65606B8-9A3D-425F-96DB-F8C7952A2EEA}" name="Year" dataDxfId="48">
      <calculatedColumnFormula>Table5[[#This Row],[Yr.]]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9452EF-5A5C-423A-9BED-487F7A52C69A}" name="Table253" displayName="Table253" ref="A1:J112" totalsRowShown="0" headerRowDxfId="47" dataDxfId="46">
  <autoFilter ref="A1:J112" xr:uid="{200D2AD4-B5F0-4D62-847C-003AC2DD0F26}"/>
  <sortState xmlns:xlrd2="http://schemas.microsoft.com/office/spreadsheetml/2017/richdata2" ref="A2:J112">
    <sortCondition ref="A1:A112"/>
  </sortState>
  <tableColumns count="10">
    <tableColumn id="9" xr3:uid="{35697C19-6F01-463D-B513-BFDF6CD1E793}" name="Order" dataDxfId="45"/>
    <tableColumn id="7" xr3:uid="{5E7292B2-3324-44CA-9FE7-8207CD9872D0}" name="Dock" dataDxfId="44"/>
    <tableColumn id="6" xr3:uid="{2633DF10-F2D8-40CA-82EF-1DDDA2A23BB9}" name="Spot" dataDxfId="43"/>
    <tableColumn id="1" xr3:uid="{8BD45E67-320D-4F1C-AF18-7FCDD5EBABBD}" name="Name" dataDxfId="42"/>
    <tableColumn id="10" xr3:uid="{104F1B15-E259-4E84-B3DA-29742F5A1838}" name="Size" dataDxfId="41">
      <calculatedColumnFormula array="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calculatedColumnFormula>
    </tableColumn>
    <tableColumn id="2" xr3:uid="{1017576A-5800-4FD5-9AFA-4C81081FD3FF}" name="Offical_ID" dataDxfId="40"/>
    <tableColumn id="8" xr3:uid="{8A63A2A6-C502-4309-A3AA-78AE278A6077}" name="Last" dataDxfId="39">
      <calculatedColumnFormula>VLOOKUP(Table253[[#This Row],[Offical_ID]],Master_Roster[[Offical ID]:[Last Name]],3,FALSE)</calculatedColumnFormula>
    </tableColumn>
    <tableColumn id="3" xr3:uid="{CD4ECD32-B1FB-4685-BEE8-A89EA76A32DA}" name="Position" dataDxfId="38"/>
    <tableColumn id="4" xr3:uid="{0B2A0233-CC2B-4957-AA29-F484FB6E24AC}" name="Sensor_Id" dataDxfId="37"/>
    <tableColumn id="5" xr3:uid="{81555FAF-1111-40B4-A7F7-EACFC312E035}" name="SOB" dataDxfId="36"/>
  </tableColumns>
  <tableStyleInfo name="TableStyleMedium1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D7F721-D581-4455-8260-79F2FD36E3C1}" name="Table6" displayName="Table6" ref="L1:P41" totalsRowShown="0" headerRowDxfId="35" dataDxfId="33" headerRowBorderDxfId="34" tableBorderDxfId="32" totalsRowBorderDxfId="31">
  <autoFilter ref="L1:P41" xr:uid="{72D7F721-D581-4455-8260-79F2FD36E3C1}"/>
  <sortState xmlns:xlrd2="http://schemas.microsoft.com/office/spreadsheetml/2017/richdata2" ref="L2:P73">
    <sortCondition ref="L1:L107"/>
  </sortState>
  <tableColumns count="5">
    <tableColumn id="1" xr3:uid="{4B6924AB-C867-4707-987B-C216D6BD859A}" name="Order" dataDxfId="30"/>
    <tableColumn id="2" xr3:uid="{4719424F-91D1-46F0-A302-462FD7C9D3A4}" name="Dock" dataDxfId="29"/>
    <tableColumn id="3" xr3:uid="{974B4328-2301-463E-9B44-2CB0EBD71460}" name="Spot" dataDxfId="28"/>
    <tableColumn id="4" xr3:uid="{F41DDCB6-D272-4AC7-9672-C22CB838142E}" name="Name" dataDxfId="27"/>
    <tableColumn id="5" xr3:uid="{8DDF64F9-4385-4CDB-91C8-7691660F7696}" name="Size" dataDxfId="26"/>
  </tableColumns>
  <tableStyleInfo name="TableStyleMedium1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28AE1-0065-4CC6-8ED3-8F26A4EDA938}" name="Table2535" displayName="Table2535" ref="A1:J112" totalsRowShown="0" headerRowDxfId="25" dataDxfId="24">
  <autoFilter ref="A1:J112" xr:uid="{200D2AD4-B5F0-4D62-847C-003AC2DD0F26}"/>
  <sortState xmlns:xlrd2="http://schemas.microsoft.com/office/spreadsheetml/2017/richdata2" ref="A2:J112">
    <sortCondition ref="A1:A112"/>
  </sortState>
  <tableColumns count="10">
    <tableColumn id="9" xr3:uid="{145E648A-17E0-460B-8A6B-ABE86DD36F45}" name="Order" dataDxfId="23"/>
    <tableColumn id="7" xr3:uid="{47DDBFA7-C3F1-435B-8400-DE50C755E6BB}" name="Dock" dataDxfId="22"/>
    <tableColumn id="6" xr3:uid="{E9BA4E42-2EC1-469F-B69F-C95A55CB8614}" name="Spot" dataDxfId="21"/>
    <tableColumn id="1" xr3:uid="{69E1A005-189D-4532-A562-395A3C14563F}" name="Name" dataDxfId="20"/>
    <tableColumn id="10" xr3:uid="{68E9993C-266E-401B-9583-80F1B2BB6E2A}" name="Size" dataDxfId="19">
      <calculatedColumnFormula array="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calculatedColumnFormula>
    </tableColumn>
    <tableColumn id="2" xr3:uid="{E32CC517-53C4-4DA5-A136-EC4546BE38E8}" name="Offical_ID" dataDxfId="18"/>
    <tableColumn id="8" xr3:uid="{B74A3CE3-93D9-4ECB-9F5D-5E5A093A4E50}" name="Last" dataDxfId="17">
      <calculatedColumnFormula>VLOOKUP(Table2535[[#This Row],[Offical_ID]],Master_Roster[[Offical ID]:[Last Name]],3,FALSE)</calculatedColumnFormula>
    </tableColumn>
    <tableColumn id="3" xr3:uid="{E285E4F4-C309-4DDA-9BE9-85B1F3E1BF1D}" name="Position" dataDxfId="16"/>
    <tableColumn id="4" xr3:uid="{9DCF4036-D100-46A3-B1F5-1FACCFDA79F6}" name="Sensor_Id" dataDxfId="15"/>
    <tableColumn id="5" xr3:uid="{36703C9A-6659-4586-8A0C-18CCF0164896}" name="SOB" dataDxfId="14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2596E7-2D64-41D9-9906-425259FEA4B6}" name="Draft" displayName="Draft" ref="A2:L113" totalsRowShown="0" headerRowDxfId="13" dataDxfId="12">
  <autoFilter ref="A2:L113" xr:uid="{F82596E7-2D64-41D9-9906-425259FEA4B6}">
    <filterColumn colId="0">
      <filters>
        <filter val="Agiye Hall"/>
        <filter val="Aidan Meek"/>
        <filter val="Dean Abdullah"/>
        <filter val="Dejuan Butler"/>
        <filter val="Deven Wright"/>
        <filter val="Gavin Thomson"/>
        <filter val="Jalen Williams"/>
        <filter val="Jamar Curtis"/>
        <filter val="James Gillespie"/>
        <filter val="Jekob Jones"/>
        <filter val="Jordan Herman"/>
        <filter val="Josh Cashiola"/>
        <filter val="Kaleb Higgins"/>
        <filter val="Kenndel Riley"/>
        <filter val="Melvin Swindle II"/>
        <filter val="Michael Johnson"/>
        <filter val="Oscar Moore"/>
        <filter val="Rodney Hammond, Jr."/>
        <filter val="Sam Adams II"/>
        <filter val="Sammy Norris"/>
        <filter val="Savion Red"/>
        <filter val="Sawyer Hays"/>
        <filter val="Tim Conerly"/>
        <filter val="Xavier Williams"/>
      </filters>
    </filterColumn>
  </autoFilter>
  <sortState xmlns:xlrd2="http://schemas.microsoft.com/office/spreadsheetml/2017/richdata2" ref="A3:J106">
    <sortCondition ref="A2:A113"/>
  </sortState>
  <tableColumns count="12">
    <tableColumn id="1" xr3:uid="{0474A3F8-A623-4829-B522-A5A013D81162}" name="Roster Name" dataDxfId="11"/>
    <tableColumn id="2" xr3:uid="{9320718B-3001-41CC-879E-68A54E699524}" name="Offical ID" dataDxfId="10"/>
    <tableColumn id="10" xr3:uid="{D0473238-92C7-4744-94DD-5E1C2703CA6F}" name="Data Name" dataDxfId="9">
      <calculatedColumnFormula>CONCATENATE(VLOOKUP(Draft[[#This Row],[Offical ID]],Master_Roster[[Offical ID]:[Last Name]],4,FALSE)," ",VLOOKUP(Draft[[#This Row],[Offical ID]],Master_Roster[[Offical ID]:[Last Name]],3,FALSE))</calculatedColumnFormula>
    </tableColumn>
    <tableColumn id="9" xr3:uid="{E619DBD1-EE4A-4567-BDEC-412EE4111B84}" name="Year" dataDxfId="8">
      <calculatedColumnFormula>VLOOKUP(Draft[[#This Row],[Offical ID]],Table5[[Offical Id]:[Year]],3,FALSE)</calculatedColumnFormula>
    </tableColumn>
    <tableColumn id="3" xr3:uid="{2E154D6F-156D-4824-A380-276B690AD69E}" name="Height" dataDxfId="7">
      <calculatedColumnFormula>VLOOKUP(Draft[[#This Row],[Offical ID]],'[2]Athlete Info'!$A$2:$E$110,5)</calculatedColumnFormula>
    </tableColumn>
    <tableColumn id="4" xr3:uid="{CAB082AE-9EB5-441B-89B9-B05C0623A163}" name="Weight" dataDxfId="6">
      <calculatedColumnFormula>IFERROR(AVERAGEIFS([3]BW!$C$2:$C$3619,[3]BW!$D$2:$D$3619,B3,[3]BW!$B$2:$B$3619,_xlfn.MAXIFS([3]BW!$B$2:$B$3619,[3]BW!$D$2:$D$3619,Draft[[#This Row],[Offical ID]])),"")</calculatedColumnFormula>
    </tableColumn>
    <tableColumn id="5" xr3:uid="{E2F04F43-E1CB-4057-A816-365F2E052126}" name="Squat Max" dataDxfId="5">
      <calculatedColumnFormula>IFERROR(AVERAGEIFS('[3]Squat Maxes'!$AP$3:$AP$112,'[3]Squat Maxes'!$AG$3:$AG$112,B3),"")</calculatedColumnFormula>
    </tableColumn>
    <tableColumn id="6" xr3:uid="{91B95384-0EEF-4B26-A15A-8DC5DE067010}" name="Bench Max" dataDxfId="4">
      <calculatedColumnFormula>IFERROR(AVERAGEIFS('[3]Bench Maxes'!$AQ$3:$AQ$112,'[3]Bench Maxes'!$AH$3:$AH$112,B3),"")</calculatedColumnFormula>
    </tableColumn>
    <tableColumn id="7" xr3:uid="{1C685F17-4AA1-4B1A-82EA-F22CF5D87604}" name="Clean Max" dataDxfId="3">
      <calculatedColumnFormula>IFERROR(AVERAGEIFS('[3]Clean Maxes'!$AD$3:$AD$112,'[3]Clean Maxes'!$Y$3:$Y$112,B3),"")</calculatedColumnFormula>
    </tableColumn>
    <tableColumn id="8" xr3:uid="{4988CD55-1A05-4303-A24B-8C0EB357475E}" name="Top Speed" dataDxfId="2">
      <calculatedColumnFormula>_xlfn.MAXIFS([1]Max_Speed_Accel_Decel!$J$2:$J$287,[1]Max_Speed_Accel_Decel!$C$2:$C$287,Draft[[#This Row],[Offical ID]])</calculatedColumnFormula>
    </tableColumn>
    <tableColumn id="11" xr3:uid="{B006A905-D3B4-4076-9033-28136F5582C2}" name="Vertex" dataDxfId="1"/>
    <tableColumn id="12" xr3:uid="{E35F0B30-DDD8-4B22-BC96-92628AB4A5AF}" name="Broad Jump" dataDxfId="0"/>
  </tableColumns>
  <tableStyleInfo name="TableStyleMedium1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hornetsports.com/sports/football/roster/ernest-campbell/10448" TargetMode="External"/><Relationship Id="rId21" Type="http://schemas.openxmlformats.org/officeDocument/2006/relationships/hyperlink" Target="https://hornetsports.com/sports/football/roster/jace-wilson/10251" TargetMode="External"/><Relationship Id="rId42" Type="http://schemas.openxmlformats.org/officeDocument/2006/relationships/hyperlink" Target="https://hornetsports.com/sports/football/roster/hayden-anderson/10246" TargetMode="External"/><Relationship Id="rId47" Type="http://schemas.openxmlformats.org/officeDocument/2006/relationships/hyperlink" Target="https://hornetsports.com/sports/football/roster/lamont-johnson-burrell/10182" TargetMode="External"/><Relationship Id="rId63" Type="http://schemas.openxmlformats.org/officeDocument/2006/relationships/hyperlink" Target="https://hornetsports.com/sports/football/roster/sammy-norris/10249" TargetMode="External"/><Relationship Id="rId68" Type="http://schemas.openxmlformats.org/officeDocument/2006/relationships/hyperlink" Target="https://hornetsports.com/sports/football/roster/xavier-williams/10229" TargetMode="External"/><Relationship Id="rId84" Type="http://schemas.openxmlformats.org/officeDocument/2006/relationships/hyperlink" Target="https://hornetsports.com/sports/football/roster/giovanni-kovacs/10187" TargetMode="External"/><Relationship Id="rId89" Type="http://schemas.openxmlformats.org/officeDocument/2006/relationships/hyperlink" Target="https://hornetsports.com/sports/football/roster/sawyer-hays/10172" TargetMode="External"/><Relationship Id="rId112" Type="http://schemas.openxmlformats.org/officeDocument/2006/relationships/hyperlink" Target="https://hornetsports.com/sports/football/roster/joseph-firebaugh/10258" TargetMode="External"/><Relationship Id="rId16" Type="http://schemas.openxmlformats.org/officeDocument/2006/relationships/hyperlink" Target="https://hornetsports.com/sports/football/roster/tim-conerly/10259" TargetMode="External"/><Relationship Id="rId107" Type="http://schemas.openxmlformats.org/officeDocument/2006/relationships/hyperlink" Target="https://hornetsports.com/sports/football/roster/jordan-jefferson/10435" TargetMode="External"/><Relationship Id="rId11" Type="http://schemas.openxmlformats.org/officeDocument/2006/relationships/hyperlink" Target="https://hornetsports.com/sports/football/roster/jaden-rashada/10411" TargetMode="External"/><Relationship Id="rId32" Type="http://schemas.openxmlformats.org/officeDocument/2006/relationships/hyperlink" Target="https://hornetsports.com/sports/football/roster/luke-sprague/10596" TargetMode="External"/><Relationship Id="rId37" Type="http://schemas.openxmlformats.org/officeDocument/2006/relationships/hyperlink" Target="https://hornetsports.com/sports/football/roster/tye-nickens/10427" TargetMode="External"/><Relationship Id="rId53" Type="http://schemas.openxmlformats.org/officeDocument/2006/relationships/hyperlink" Target="https://hornetsports.com/sports/football/roster/sam-adams-ii/10414" TargetMode="External"/><Relationship Id="rId58" Type="http://schemas.openxmlformats.org/officeDocument/2006/relationships/hyperlink" Target="https://hornetsports.com/sports/football/roster/matthew-eskridge-ii/10162" TargetMode="External"/><Relationship Id="rId74" Type="http://schemas.openxmlformats.org/officeDocument/2006/relationships/hyperlink" Target="https://hornetsports.com/sports/football/roster/dean-abdullah/10247" TargetMode="External"/><Relationship Id="rId79" Type="http://schemas.openxmlformats.org/officeDocument/2006/relationships/hyperlink" Target="https://hornetsports.com/sports/football/roster/desean-watts/10257" TargetMode="External"/><Relationship Id="rId102" Type="http://schemas.openxmlformats.org/officeDocument/2006/relationships/hyperlink" Target="https://hornetsports.com/sports/football/roster/gavin-nelson/10439" TargetMode="External"/><Relationship Id="rId5" Type="http://schemas.openxmlformats.org/officeDocument/2006/relationships/hyperlink" Target="https://hornetsports.com/sports/football/roster/deven-wright/10404" TargetMode="External"/><Relationship Id="rId90" Type="http://schemas.openxmlformats.org/officeDocument/2006/relationships/hyperlink" Target="https://hornetsports.com/sports/football/roster/jose-soto/10220" TargetMode="External"/><Relationship Id="rId95" Type="http://schemas.openxmlformats.org/officeDocument/2006/relationships/hyperlink" Target="https://hornetsports.com/sports/football/roster/jordan-herman/10402" TargetMode="External"/><Relationship Id="rId22" Type="http://schemas.openxmlformats.org/officeDocument/2006/relationships/hyperlink" Target="https://hornetsports.com/sports/football/roster/jamal-hood/10432" TargetMode="External"/><Relationship Id="rId27" Type="http://schemas.openxmlformats.org/officeDocument/2006/relationships/hyperlink" Target="https://hornetsports.com/sports/football/roster/yebrell-emerson/10161" TargetMode="External"/><Relationship Id="rId43" Type="http://schemas.openxmlformats.org/officeDocument/2006/relationships/hyperlink" Target="https://hornetsports.com/sports/football/roster/dejuan-butler/10151" TargetMode="External"/><Relationship Id="rId48" Type="http://schemas.openxmlformats.org/officeDocument/2006/relationships/hyperlink" Target="https://hornetsports.com/sports/football/roster/lono-chouteau/10420" TargetMode="External"/><Relationship Id="rId64" Type="http://schemas.openxmlformats.org/officeDocument/2006/relationships/hyperlink" Target="https://hornetsports.com/sports/football/roster/derek-houston/10176" TargetMode="External"/><Relationship Id="rId69" Type="http://schemas.openxmlformats.org/officeDocument/2006/relationships/hyperlink" Target="https://hornetsports.com/sports/football/roster/mike-melanson/10460" TargetMode="External"/><Relationship Id="rId80" Type="http://schemas.openxmlformats.org/officeDocument/2006/relationships/hyperlink" Target="https://hornetsports.com/sports/football/roster/kenndel-riley/10208" TargetMode="External"/><Relationship Id="rId85" Type="http://schemas.openxmlformats.org/officeDocument/2006/relationships/hyperlink" Target="https://hornetsports.com/sports/football/roster/luke-slater/10216" TargetMode="External"/><Relationship Id="rId12" Type="http://schemas.openxmlformats.org/officeDocument/2006/relationships/hyperlink" Target="https://hornetsports.com/sports/football/roster/jamar-malone/10425" TargetMode="External"/><Relationship Id="rId17" Type="http://schemas.openxmlformats.org/officeDocument/2006/relationships/hyperlink" Target="https://hornetsports.com/sports/football/roster/kris-ross/10447" TargetMode="External"/><Relationship Id="rId33" Type="http://schemas.openxmlformats.org/officeDocument/2006/relationships/hyperlink" Target="https://hornetsports.com/sports/football/roster/kaleb-higgins/10175" TargetMode="External"/><Relationship Id="rId38" Type="http://schemas.openxmlformats.org/officeDocument/2006/relationships/hyperlink" Target="https://hornetsports.com/sports/football/roster/fata-puloka/10207" TargetMode="External"/><Relationship Id="rId59" Type="http://schemas.openxmlformats.org/officeDocument/2006/relationships/hyperlink" Target="https://hornetsports.com/sports/football/roster/alex-rocha/10211" TargetMode="External"/><Relationship Id="rId103" Type="http://schemas.openxmlformats.org/officeDocument/2006/relationships/hyperlink" Target="https://hornetsports.com/sports/football/roster/bear-tenney/10412" TargetMode="External"/><Relationship Id="rId108" Type="http://schemas.openxmlformats.org/officeDocument/2006/relationships/hyperlink" Target="https://hornetsports.com/sports/football/roster/malachi-kindle/10424" TargetMode="External"/><Relationship Id="rId54" Type="http://schemas.openxmlformats.org/officeDocument/2006/relationships/hyperlink" Target="https://hornetsports.com/sports/football/roster/kj-jefferson/10423" TargetMode="External"/><Relationship Id="rId70" Type="http://schemas.openxmlformats.org/officeDocument/2006/relationships/hyperlink" Target="https://hornetsports.com/sports/football/roster/adam-johnston/10183" TargetMode="External"/><Relationship Id="rId75" Type="http://schemas.openxmlformats.org/officeDocument/2006/relationships/hyperlink" Target="https://hornetsports.com/sports/football/roster/elijah-ortiz/10203" TargetMode="External"/><Relationship Id="rId91" Type="http://schemas.openxmlformats.org/officeDocument/2006/relationships/hyperlink" Target="https://hornetsports.com/sports/football/roster/aidan-meek/10196" TargetMode="External"/><Relationship Id="rId96" Type="http://schemas.openxmlformats.org/officeDocument/2006/relationships/hyperlink" Target="https://hornetsports.com/sports/football/roster/trey-bass/10418" TargetMode="External"/><Relationship Id="rId1" Type="http://schemas.openxmlformats.org/officeDocument/2006/relationships/hyperlink" Target="https://hornetsports.com/sports/football/roster/ricky-lee-iii/10252" TargetMode="External"/><Relationship Id="rId6" Type="http://schemas.openxmlformats.org/officeDocument/2006/relationships/hyperlink" Target="https://hornetsports.com/sports/football/roster/jordan-anderson/10243" TargetMode="External"/><Relationship Id="rId15" Type="http://schemas.openxmlformats.org/officeDocument/2006/relationships/hyperlink" Target="https://hornetsports.com/sports/football/roster/jalen-williams/10228" TargetMode="External"/><Relationship Id="rId23" Type="http://schemas.openxmlformats.org/officeDocument/2006/relationships/hyperlink" Target="https://hornetsports.com/sports/football/roster/gavin-thomson/10406" TargetMode="External"/><Relationship Id="rId28" Type="http://schemas.openxmlformats.org/officeDocument/2006/relationships/hyperlink" Target="https://hornetsports.com/sports/football/roster/curron-borders/10147" TargetMode="External"/><Relationship Id="rId36" Type="http://schemas.openxmlformats.org/officeDocument/2006/relationships/hyperlink" Target="https://hornetsports.com/sports/football/roster/anta-veon-mckenzie/10195" TargetMode="External"/><Relationship Id="rId49" Type="http://schemas.openxmlformats.org/officeDocument/2006/relationships/hyperlink" Target="https://hornetsports.com/sports/football/roster/michael-johnson/10517" TargetMode="External"/><Relationship Id="rId57" Type="http://schemas.openxmlformats.org/officeDocument/2006/relationships/hyperlink" Target="https://hornetsports.com/sports/football/roster/jackson-cahoon/10419" TargetMode="External"/><Relationship Id="rId106" Type="http://schemas.openxmlformats.org/officeDocument/2006/relationships/hyperlink" Target="https://hornetsports.com/sports/football/roster/cal-mcgough/10193" TargetMode="External"/><Relationship Id="rId10" Type="http://schemas.openxmlformats.org/officeDocument/2006/relationships/hyperlink" Target="https://hornetsports.com/sports/football/roster/oscar-moore/10416" TargetMode="External"/><Relationship Id="rId31" Type="http://schemas.openxmlformats.org/officeDocument/2006/relationships/hyperlink" Target="https://hornetsports.com/sports/football/roster/je-kob-jones/10403" TargetMode="External"/><Relationship Id="rId44" Type="http://schemas.openxmlformats.org/officeDocument/2006/relationships/hyperlink" Target="https://hornetsports.com/sports/football/roster/elias-mullican/10199" TargetMode="External"/><Relationship Id="rId52" Type="http://schemas.openxmlformats.org/officeDocument/2006/relationships/hyperlink" Target="https://hornetsports.com/sports/football/roster/mike-taylor/10430" TargetMode="External"/><Relationship Id="rId60" Type="http://schemas.openxmlformats.org/officeDocument/2006/relationships/hyperlink" Target="https://hornetsports.com/sports/football/roster/dylan-gooden/10459" TargetMode="External"/><Relationship Id="rId65" Type="http://schemas.openxmlformats.org/officeDocument/2006/relationships/hyperlink" Target="https://hornetsports.com/sports/football/roster/caleb-reese/10240" TargetMode="External"/><Relationship Id="rId73" Type="http://schemas.openxmlformats.org/officeDocument/2006/relationships/hyperlink" Target="https://hornetsports.com/sports/football/roster/joseph-speno/10222" TargetMode="External"/><Relationship Id="rId78" Type="http://schemas.openxmlformats.org/officeDocument/2006/relationships/hyperlink" Target="https://hornetsports.com/sports/football/roster/jayland-mcglothen/10192" TargetMode="External"/><Relationship Id="rId81" Type="http://schemas.openxmlformats.org/officeDocument/2006/relationships/hyperlink" Target="https://hornetsports.com/sports/football/roster/graysen-lee/10238" TargetMode="External"/><Relationship Id="rId86" Type="http://schemas.openxmlformats.org/officeDocument/2006/relationships/hyperlink" Target="https://hornetsports.com/sports/football/roster/davis-may/10191" TargetMode="External"/><Relationship Id="rId94" Type="http://schemas.openxmlformats.org/officeDocument/2006/relationships/hyperlink" Target="https://hornetsports.com/sports/football/roster/richard-mckay/10194" TargetMode="External"/><Relationship Id="rId99" Type="http://schemas.openxmlformats.org/officeDocument/2006/relationships/hyperlink" Target="https://hornetsports.com/sports/football/roster/dontae-robinson/10434" TargetMode="External"/><Relationship Id="rId101" Type="http://schemas.openxmlformats.org/officeDocument/2006/relationships/hyperlink" Target="https://hornetsports.com/sports/football/roster/davis-ambuehl/10327" TargetMode="External"/><Relationship Id="rId4" Type="http://schemas.openxmlformats.org/officeDocument/2006/relationships/hyperlink" Target="https://hornetsports.com/sports/football/roster/rodney-hammond-jr-/10263" TargetMode="External"/><Relationship Id="rId9" Type="http://schemas.openxmlformats.org/officeDocument/2006/relationships/hyperlink" Target="https://hornetsports.com/sports/football/roster/damian-henderson-ii/10264" TargetMode="External"/><Relationship Id="rId13" Type="http://schemas.openxmlformats.org/officeDocument/2006/relationships/hyperlink" Target="https://hornetsports.com/sports/football/roster/warren-smith-jr-/10407" TargetMode="External"/><Relationship Id="rId18" Type="http://schemas.openxmlformats.org/officeDocument/2006/relationships/hyperlink" Target="https://hornetsports.com/sports/football/roster/damien-mcdaniel/10242" TargetMode="External"/><Relationship Id="rId39" Type="http://schemas.openxmlformats.org/officeDocument/2006/relationships/hyperlink" Target="https://hornetsports.com/sports/football/roster/josh-cashiola/10153" TargetMode="External"/><Relationship Id="rId109" Type="http://schemas.openxmlformats.org/officeDocument/2006/relationships/hyperlink" Target="https://hornetsports.com/sports/football/roster/micah-mosley/10239" TargetMode="External"/><Relationship Id="rId34" Type="http://schemas.openxmlformats.org/officeDocument/2006/relationships/hyperlink" Target="https://hornetsports.com/sports/football/roster/jordan-williams/10260" TargetMode="External"/><Relationship Id="rId50" Type="http://schemas.openxmlformats.org/officeDocument/2006/relationships/hyperlink" Target="https://hornetsports.com/sports/football/roster/naytel-mitchell/10426" TargetMode="External"/><Relationship Id="rId55" Type="http://schemas.openxmlformats.org/officeDocument/2006/relationships/hyperlink" Target="https://hornetsports.com/sports/football/roster/koa-akui/10142" TargetMode="External"/><Relationship Id="rId76" Type="http://schemas.openxmlformats.org/officeDocument/2006/relationships/hyperlink" Target="https://hornetsports.com/sports/football/roster/miles-bailey/10253" TargetMode="External"/><Relationship Id="rId97" Type="http://schemas.openxmlformats.org/officeDocument/2006/relationships/hyperlink" Target="https://hornetsports.com/sports/football/roster/tre-fernandez/10421" TargetMode="External"/><Relationship Id="rId104" Type="http://schemas.openxmlformats.org/officeDocument/2006/relationships/hyperlink" Target="https://hornetsports.com/sports/football/roster/syncere-massey/10442" TargetMode="External"/><Relationship Id="rId7" Type="http://schemas.openxmlformats.org/officeDocument/2006/relationships/hyperlink" Target="https://hornetsports.com/sports/football/roster/brodie-tagaloa/10255" TargetMode="External"/><Relationship Id="rId71" Type="http://schemas.openxmlformats.org/officeDocument/2006/relationships/hyperlink" Target="https://hornetsports.com/sports/football/roster/jojo-solis/10233" TargetMode="External"/><Relationship Id="rId92" Type="http://schemas.openxmlformats.org/officeDocument/2006/relationships/hyperlink" Target="https://hornetsports.com/sports/football/roster/deanthony-sheffield/10433" TargetMode="External"/><Relationship Id="rId2" Type="http://schemas.openxmlformats.org/officeDocument/2006/relationships/hyperlink" Target="https://hornetsports.com/sports/football/roster/savion-red/10415" TargetMode="External"/><Relationship Id="rId29" Type="http://schemas.openxmlformats.org/officeDocument/2006/relationships/hyperlink" Target="https://hornetsports.com/sports/football/roster/drey-garner/10422" TargetMode="External"/><Relationship Id="rId24" Type="http://schemas.openxmlformats.org/officeDocument/2006/relationships/hyperlink" Target="https://hornetsports.com/sports/football/roster/jason-oliver/10202" TargetMode="External"/><Relationship Id="rId40" Type="http://schemas.openxmlformats.org/officeDocument/2006/relationships/hyperlink" Target="https://hornetsports.com/sports/football/roster/logan-tanner/10250" TargetMode="External"/><Relationship Id="rId45" Type="http://schemas.openxmlformats.org/officeDocument/2006/relationships/hyperlink" Target="https://hornetsports.com/sports/football/roster/jaquail-smith/10428" TargetMode="External"/><Relationship Id="rId66" Type="http://schemas.openxmlformats.org/officeDocument/2006/relationships/hyperlink" Target="https://hornetsports.com/sports/football/roster/in-memory-of-john-bloomfield/10180" TargetMode="External"/><Relationship Id="rId87" Type="http://schemas.openxmlformats.org/officeDocument/2006/relationships/hyperlink" Target="https://hornetsports.com/sports/football/roster/jaxon-moore/10237" TargetMode="External"/><Relationship Id="rId110" Type="http://schemas.openxmlformats.org/officeDocument/2006/relationships/hyperlink" Target="https://hornetsports.com/sports/football/roster/nash-burkart/10232" TargetMode="External"/><Relationship Id="rId61" Type="http://schemas.openxmlformats.org/officeDocument/2006/relationships/hyperlink" Target="https://hornetsports.com/sports/football/roster/hunter-boeddeker/10146" TargetMode="External"/><Relationship Id="rId82" Type="http://schemas.openxmlformats.org/officeDocument/2006/relationships/hyperlink" Target="https://hornetsports.com/sports/football/roster/brandon-sousa/10221" TargetMode="External"/><Relationship Id="rId19" Type="http://schemas.openxmlformats.org/officeDocument/2006/relationships/hyperlink" Target="https://hornetsports.com/sports/football/roster/malik-tullis/10410" TargetMode="External"/><Relationship Id="rId14" Type="http://schemas.openxmlformats.org/officeDocument/2006/relationships/hyperlink" Target="https://hornetsports.com/sports/football/roster/cardell-williams/10245" TargetMode="External"/><Relationship Id="rId30" Type="http://schemas.openxmlformats.org/officeDocument/2006/relationships/hyperlink" Target="https://hornetsports.com/sports/football/roster/brennon-scott/10256" TargetMode="External"/><Relationship Id="rId35" Type="http://schemas.openxmlformats.org/officeDocument/2006/relationships/hyperlink" Target="https://hornetsports.com/sports/football/roster/ajon-bryant/10149" TargetMode="External"/><Relationship Id="rId56" Type="http://schemas.openxmlformats.org/officeDocument/2006/relationships/hyperlink" Target="https://hornetsports.com/sports/football/roster/pita-vi/10354" TargetMode="External"/><Relationship Id="rId77" Type="http://schemas.openxmlformats.org/officeDocument/2006/relationships/hyperlink" Target="https://hornetsports.com/sports/football/roster/dylan-hampsten/10408" TargetMode="External"/><Relationship Id="rId100" Type="http://schemas.openxmlformats.org/officeDocument/2006/relationships/hyperlink" Target="https://hornetsports.com/sports/football/roster/elijah-huddle/10234" TargetMode="External"/><Relationship Id="rId105" Type="http://schemas.openxmlformats.org/officeDocument/2006/relationships/hyperlink" Target="https://hornetsports.com/sports/football/roster/james-gillespie/10443" TargetMode="External"/><Relationship Id="rId8" Type="http://schemas.openxmlformats.org/officeDocument/2006/relationships/hyperlink" Target="https://hornetsports.com/sports/football/roster/diesel-gordon/10405" TargetMode="External"/><Relationship Id="rId51" Type="http://schemas.openxmlformats.org/officeDocument/2006/relationships/hyperlink" Target="https://hornetsports.com/sports/football/roster/max-susini/10595" TargetMode="External"/><Relationship Id="rId72" Type="http://schemas.openxmlformats.org/officeDocument/2006/relationships/hyperlink" Target="https://hornetsports.com/sports/football/roster/grant-meadors/10332" TargetMode="External"/><Relationship Id="rId93" Type="http://schemas.openxmlformats.org/officeDocument/2006/relationships/hyperlink" Target="https://hornetsports.com/sports/football/roster/jeremiah-stallworth/10429" TargetMode="External"/><Relationship Id="rId98" Type="http://schemas.openxmlformats.org/officeDocument/2006/relationships/hyperlink" Target="https://hornetsports.com/sports/football/roster/jaxon-fresques/10330" TargetMode="External"/><Relationship Id="rId3" Type="http://schemas.openxmlformats.org/officeDocument/2006/relationships/hyperlink" Target="https://hornetsports.com/sports/football/roster/jamar-curtis/10248" TargetMode="External"/><Relationship Id="rId25" Type="http://schemas.openxmlformats.org/officeDocument/2006/relationships/hyperlink" Target="https://hornetsports.com/sports/football/roster/onterrio-smith-jr-/10218" TargetMode="External"/><Relationship Id="rId46" Type="http://schemas.openxmlformats.org/officeDocument/2006/relationships/hyperlink" Target="https://hornetsports.com/sports/football/roster/elias-brown/10431" TargetMode="External"/><Relationship Id="rId67" Type="http://schemas.openxmlformats.org/officeDocument/2006/relationships/hyperlink" Target="https://hornetsports.com/sports/football/roster/diego-davis/10401" TargetMode="External"/><Relationship Id="rId20" Type="http://schemas.openxmlformats.org/officeDocument/2006/relationships/hyperlink" Target="https://hornetsports.com/sports/football/roster/jayden-robinson/10461" TargetMode="External"/><Relationship Id="rId41" Type="http://schemas.openxmlformats.org/officeDocument/2006/relationships/hyperlink" Target="https://hornetsports.com/sports/football/roster/adam-taylor/10225" TargetMode="External"/><Relationship Id="rId62" Type="http://schemas.openxmlformats.org/officeDocument/2006/relationships/hyperlink" Target="https://hornetsports.com/sports/football/roster/connor-mcdowell/10333" TargetMode="External"/><Relationship Id="rId83" Type="http://schemas.openxmlformats.org/officeDocument/2006/relationships/hyperlink" Target="https://hornetsports.com/sports/football/roster/cade-gretlein/10169" TargetMode="External"/><Relationship Id="rId88" Type="http://schemas.openxmlformats.org/officeDocument/2006/relationships/hyperlink" Target="https://hornetsports.com/sports/football/roster/bryson-summers/10224" TargetMode="External"/><Relationship Id="rId111" Type="http://schemas.openxmlformats.org/officeDocument/2006/relationships/hyperlink" Target="https://hornetsports.com/sports/football/roster/melvin-swindle-ii/104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C503-0EDB-449A-BCE3-C5FD00AAAA87}">
  <dimension ref="A1:O125"/>
  <sheetViews>
    <sheetView tabSelected="1" topLeftCell="K54" workbookViewId="0">
      <selection activeCell="N75" sqref="N75"/>
    </sheetView>
  </sheetViews>
  <sheetFormatPr defaultRowHeight="15" x14ac:dyDescent="0.2"/>
  <cols>
    <col min="1" max="1" width="13.31640625" customWidth="1"/>
    <col min="2" max="2" width="28.11328125" customWidth="1"/>
    <col min="3" max="3" width="24.34765625" customWidth="1"/>
    <col min="4" max="7" width="22.46484375" customWidth="1"/>
    <col min="8" max="11" width="26.23046875" customWidth="1"/>
    <col min="12" max="13" width="9.14453125" customWidth="1"/>
    <col min="14" max="14" width="18.5625" customWidth="1"/>
    <col min="15" max="15" width="21.65625" customWidth="1"/>
  </cols>
  <sheetData>
    <row r="1" spans="1:15" ht="16.5" x14ac:dyDescent="0.2">
      <c r="A1" s="9" t="s">
        <v>707</v>
      </c>
      <c r="B1" s="17" t="s">
        <v>592</v>
      </c>
      <c r="C1" s="18" t="s">
        <v>575</v>
      </c>
      <c r="D1" s="19" t="s">
        <v>705</v>
      </c>
      <c r="E1" s="19" t="s">
        <v>734</v>
      </c>
      <c r="F1" s="19" t="s">
        <v>582</v>
      </c>
      <c r="G1" s="19" t="s">
        <v>583</v>
      </c>
      <c r="H1" s="20" t="s">
        <v>584</v>
      </c>
      <c r="I1" s="20" t="s">
        <v>704</v>
      </c>
      <c r="J1" s="16" t="s">
        <v>590</v>
      </c>
      <c r="K1" s="9" t="s">
        <v>865</v>
      </c>
      <c r="L1" s="9" t="s">
        <v>74</v>
      </c>
      <c r="M1" s="9" t="s">
        <v>739</v>
      </c>
      <c r="N1" s="19" t="s">
        <v>891</v>
      </c>
      <c r="O1" s="9" t="s">
        <v>946</v>
      </c>
    </row>
    <row r="2" spans="1:15" x14ac:dyDescent="0.2">
      <c r="A2" s="24" t="s">
        <v>708</v>
      </c>
      <c r="B2" s="21" t="s">
        <v>9</v>
      </c>
      <c r="C2" s="22" t="s">
        <v>9</v>
      </c>
      <c r="D2" s="21" t="s">
        <v>640</v>
      </c>
      <c r="E2" s="21" t="str">
        <f>CONCATENATE(Master_Roster[[#This Row],[Last Name]],", ",MID(Master_Roster[[#This Row],[First Name]],1,2))</f>
        <v>Johnson-Burrell, La</v>
      </c>
      <c r="F2" s="21" t="s">
        <v>160</v>
      </c>
      <c r="G2" s="21" t="s">
        <v>161</v>
      </c>
      <c r="H2" s="21" t="s">
        <v>9</v>
      </c>
      <c r="I2" s="21" t="s">
        <v>9</v>
      </c>
      <c r="J2" s="9" t="s">
        <v>9</v>
      </c>
      <c r="K2" s="23" t="s">
        <v>764</v>
      </c>
      <c r="L2" s="24" t="str">
        <f>IFERROR(VLOOKUP(Master_Roster[[#This Row],[Offical ID]],'Online Roster'!L$3:M$112,2,FALSE),"")</f>
        <v>CB</v>
      </c>
      <c r="M2" s="24" t="str" cm="1">
        <f t="array" ref="M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2" s="21" t="str">
        <f>Master_Roster[[#This Row],[Offical ID]]</f>
        <v>Johnson-Burrell_Lamont_25</v>
      </c>
      <c r="O2" s="23" t="s">
        <v>949</v>
      </c>
    </row>
    <row r="3" spans="1:15" x14ac:dyDescent="0.2">
      <c r="A3" s="24" t="s">
        <v>708</v>
      </c>
      <c r="B3" s="21" t="s">
        <v>290</v>
      </c>
      <c r="C3" s="22" t="s">
        <v>290</v>
      </c>
      <c r="D3" s="21" t="s">
        <v>654</v>
      </c>
      <c r="E3" s="21" t="str">
        <f>CONCATENATE(Master_Roster[[#This Row],[Last Name]],", ",MID(Master_Roster[[#This Row],[First Name]],1,2))</f>
        <v>Reese, Ca</v>
      </c>
      <c r="F3" s="21" t="s">
        <v>193</v>
      </c>
      <c r="G3" s="21" t="s">
        <v>194</v>
      </c>
      <c r="H3" s="21" t="s">
        <v>290</v>
      </c>
      <c r="I3" s="21" t="s">
        <v>290</v>
      </c>
      <c r="J3" s="43" t="str">
        <f>Master_Roster[[#This Row],[Simple Name]]</f>
        <v>Caleb Reese</v>
      </c>
      <c r="K3" s="21" t="s">
        <v>771</v>
      </c>
      <c r="L3" s="21" t="str">
        <f>IFERROR(VLOOKUP(Master_Roster[[#This Row],[Offical ID]],'Online Roster'!L$3:M$112,2,FALSE),"")</f>
        <v>CB</v>
      </c>
      <c r="M3" s="21" t="str" cm="1">
        <f t="array" ref="M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3" s="21" t="str">
        <f>Master_Roster[[#This Row],[Offical ID]]</f>
        <v>Reese_Caleb_25</v>
      </c>
      <c r="O3" s="23" t="s">
        <v>949</v>
      </c>
    </row>
    <row r="4" spans="1:15" x14ac:dyDescent="0.2">
      <c r="A4" s="24" t="s">
        <v>708</v>
      </c>
      <c r="B4" s="21" t="s">
        <v>26</v>
      </c>
      <c r="C4" s="22" t="s">
        <v>26</v>
      </c>
      <c r="D4" s="21" t="s">
        <v>613</v>
      </c>
      <c r="E4" s="21" t="str">
        <f>CONCATENATE(Master_Roster[[#This Row],[Last Name]],", ",MID(Master_Roster[[#This Row],[First Name]],1,2))</f>
        <v>Robinson, Ja</v>
      </c>
      <c r="F4" s="21" t="s">
        <v>702</v>
      </c>
      <c r="G4" s="21" t="s">
        <v>117</v>
      </c>
      <c r="H4" s="21" t="s">
        <v>26</v>
      </c>
      <c r="I4" s="21" t="s">
        <v>26</v>
      </c>
      <c r="J4" s="9" t="s">
        <v>26</v>
      </c>
      <c r="K4" s="21" t="s">
        <v>772</v>
      </c>
      <c r="L4" s="21" t="str">
        <f>IFERROR(VLOOKUP(Master_Roster[[#This Row],[Offical ID]],'Online Roster'!L$3:M$112,2,FALSE),"")</f>
        <v>CB</v>
      </c>
      <c r="M4" s="21" t="str" cm="1">
        <f t="array" ref="M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4" s="21" t="str">
        <f>Master_Roster[[#This Row],[Offical ID]]</f>
        <v>Robinson_Jayden_25</v>
      </c>
      <c r="O4" s="23" t="s">
        <v>949</v>
      </c>
    </row>
    <row r="5" spans="1:15" x14ac:dyDescent="0.2">
      <c r="A5" s="24" t="s">
        <v>708</v>
      </c>
      <c r="B5" s="21" t="s">
        <v>25</v>
      </c>
      <c r="C5" s="22" t="s">
        <v>25</v>
      </c>
      <c r="D5" s="21" t="s">
        <v>634</v>
      </c>
      <c r="E5" s="21" t="str">
        <f>CONCATENATE(Master_Roster[[#This Row],[Last Name]],", ",MID(Master_Roster[[#This Row],[First Name]],1,2))</f>
        <v>Taylor, Ad</v>
      </c>
      <c r="F5" s="21" t="s">
        <v>152</v>
      </c>
      <c r="G5" s="21" t="s">
        <v>153</v>
      </c>
      <c r="H5" s="21" t="s">
        <v>25</v>
      </c>
      <c r="I5" s="21" t="s">
        <v>25</v>
      </c>
      <c r="J5" s="9" t="s">
        <v>868</v>
      </c>
      <c r="K5" s="21" t="s">
        <v>775</v>
      </c>
      <c r="L5" s="21" t="str">
        <f>IFERROR(VLOOKUP(Master_Roster[[#This Row],[Offical ID]],'Online Roster'!L$3:M$112,2,FALSE),"")</f>
        <v>CB</v>
      </c>
      <c r="M5" s="21" t="str" cm="1">
        <f t="array" ref="M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5" s="21" t="str">
        <f>Master_Roster[[#This Row],[Offical ID]]</f>
        <v>Taylor_Adam_25</v>
      </c>
      <c r="O5" s="23" t="s">
        <v>949</v>
      </c>
    </row>
    <row r="6" spans="1:15" x14ac:dyDescent="0.2">
      <c r="A6" s="24" t="s">
        <v>708</v>
      </c>
      <c r="B6" s="21" t="s">
        <v>950</v>
      </c>
      <c r="C6" s="22" t="s">
        <v>950</v>
      </c>
      <c r="D6" s="21" t="s">
        <v>951</v>
      </c>
      <c r="E6" s="21" t="str">
        <f>CONCATENATE(Master_Roster[[#This Row],[Last Name]],", ",MID(Master_Roster[[#This Row],[First Name]],1,2))</f>
        <v>Burkhart, Na</v>
      </c>
      <c r="F6" s="21" t="s">
        <v>952</v>
      </c>
      <c r="G6" s="21" t="s">
        <v>953</v>
      </c>
      <c r="H6" s="21" t="s">
        <v>306</v>
      </c>
      <c r="I6" s="21" t="s">
        <v>306</v>
      </c>
      <c r="J6" s="23" t="s">
        <v>306</v>
      </c>
      <c r="K6" s="30" t="s">
        <v>959</v>
      </c>
      <c r="L6" s="21" t="s">
        <v>321</v>
      </c>
      <c r="M6" s="21" t="s">
        <v>881</v>
      </c>
      <c r="N6" s="21" t="str">
        <f>Master_Roster[[#This Row],[Offical ID]]</f>
        <v>Burkhart_Nash_25</v>
      </c>
      <c r="O6" s="23" t="s">
        <v>949</v>
      </c>
    </row>
    <row r="7" spans="1:15" x14ac:dyDescent="0.2">
      <c r="A7" s="24" t="s">
        <v>708</v>
      </c>
      <c r="B7" s="21" t="s">
        <v>281</v>
      </c>
      <c r="C7" s="22" t="s">
        <v>281</v>
      </c>
      <c r="D7" s="21" t="s">
        <v>636</v>
      </c>
      <c r="E7" s="21" t="str">
        <f>CONCATENATE(Master_Roster[[#This Row],[Last Name]],", ",MID(Master_Roster[[#This Row],[First Name]],1,2))</f>
        <v>Butler, De</v>
      </c>
      <c r="F7" s="21" t="s">
        <v>154</v>
      </c>
      <c r="G7" s="21" t="s">
        <v>155</v>
      </c>
      <c r="H7" s="21" t="s">
        <v>21</v>
      </c>
      <c r="I7" s="21" t="s">
        <v>281</v>
      </c>
      <c r="J7" s="9" t="s">
        <v>281</v>
      </c>
      <c r="K7" s="30" t="s">
        <v>958</v>
      </c>
      <c r="L7" s="21" t="str">
        <f>IFERROR(VLOOKUP(Master_Roster[[#This Row],[Offical ID]],'Online Roster'!L$3:M$112,2,FALSE),"")</f>
        <v>CB</v>
      </c>
      <c r="M7" s="21" t="str" cm="1">
        <f t="array" ref="M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7" s="21" t="str">
        <f>Master_Roster[[#This Row],[Offical ID]]</f>
        <v>Butler_Dejuan_25</v>
      </c>
      <c r="O7" s="23" t="s">
        <v>947</v>
      </c>
    </row>
    <row r="8" spans="1:15" hidden="1" x14ac:dyDescent="0.2">
      <c r="A8" s="24" t="s">
        <v>713</v>
      </c>
      <c r="B8" s="21" t="s">
        <v>33</v>
      </c>
      <c r="C8" s="22" t="s">
        <v>33</v>
      </c>
      <c r="D8" s="21" t="s">
        <v>655</v>
      </c>
      <c r="E8" s="21" t="str">
        <f>CONCATENATE(Master_Roster[[#This Row],[Last Name]],", ",MID(Master_Roster[[#This Row],[First Name]],1,2))</f>
        <v>Atkinson, Jo</v>
      </c>
      <c r="F8" s="21" t="s">
        <v>91</v>
      </c>
      <c r="G8" s="21" t="s">
        <v>195</v>
      </c>
      <c r="H8" s="21" t="s">
        <v>33</v>
      </c>
      <c r="I8" s="21" t="s">
        <v>33</v>
      </c>
      <c r="K8" s="21" t="s">
        <v>777</v>
      </c>
      <c r="L8" s="21" t="str">
        <f>IFERROR(VLOOKUP(Master_Roster[[#This Row],[Offical ID]],'Online Roster'!L$3:M$112,2,FALSE),"")</f>
        <v>OLB</v>
      </c>
      <c r="M8" s="21" t="str" cm="1">
        <f t="array" ref="M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8" s="21" t="str">
        <f>Master_Roster[[#This Row],[Offical ID]]</f>
        <v>Atkinson_Jordan_25</v>
      </c>
      <c r="O8" s="23"/>
    </row>
    <row r="9" spans="1:15" x14ac:dyDescent="0.2">
      <c r="A9" s="24" t="s">
        <v>708</v>
      </c>
      <c r="B9" s="21" t="s">
        <v>371</v>
      </c>
      <c r="C9" s="22" t="s">
        <v>577</v>
      </c>
      <c r="D9" s="21" t="s">
        <v>606</v>
      </c>
      <c r="E9" s="21" t="str">
        <f>CONCATENATE(Master_Roster[[#This Row],[Last Name]],", ",MID(Master_Roster[[#This Row],[First Name]],1,2))</f>
        <v>Smith, Wa</v>
      </c>
      <c r="F9" s="21" t="s">
        <v>701</v>
      </c>
      <c r="G9" s="21" t="s">
        <v>102</v>
      </c>
      <c r="H9" s="23" t="s">
        <v>577</v>
      </c>
      <c r="I9" s="23" t="s">
        <v>577</v>
      </c>
      <c r="J9" s="30" t="s">
        <v>577</v>
      </c>
      <c r="K9" s="21" t="s">
        <v>773</v>
      </c>
      <c r="L9" s="21" t="str">
        <f>IFERROR(VLOOKUP(Master_Roster[[#This Row],[Offical ID]],'Online Roster'!L$3:M$112,2,FALSE),"")</f>
        <v>CB</v>
      </c>
      <c r="M9" s="21" t="str" cm="1">
        <f t="array" ref="M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9" s="21" t="str">
        <f>Master_Roster[[#This Row],[Offical ID]]</f>
        <v>Smith_Warren_25</v>
      </c>
      <c r="O9" s="23" t="s">
        <v>948</v>
      </c>
    </row>
    <row r="10" spans="1:15" x14ac:dyDescent="0.2">
      <c r="A10" s="24" t="s">
        <v>708</v>
      </c>
      <c r="B10" s="21" t="s">
        <v>23</v>
      </c>
      <c r="C10" s="22" t="s">
        <v>23</v>
      </c>
      <c r="D10" s="21" t="s">
        <v>608</v>
      </c>
      <c r="E10" s="21" t="str">
        <f>CONCATENATE(Master_Roster[[#This Row],[Last Name]],", ",MID(Master_Roster[[#This Row],[First Name]],1,2))</f>
        <v>Williams, Ja</v>
      </c>
      <c r="F10" s="21" t="s">
        <v>106</v>
      </c>
      <c r="G10" s="21" t="s">
        <v>105</v>
      </c>
      <c r="H10" s="21" t="s">
        <v>23</v>
      </c>
      <c r="I10" s="21" t="s">
        <v>23</v>
      </c>
      <c r="J10" s="30" t="s">
        <v>23</v>
      </c>
      <c r="K10" s="21" t="s">
        <v>776</v>
      </c>
      <c r="L10" s="21" t="s">
        <v>321</v>
      </c>
      <c r="M10" s="21" t="str" cm="1">
        <f t="array" ref="M1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" s="21" t="str">
        <f>Master_Roster[[#This Row],[Offical ID]]</f>
        <v>Williams_Jalen_25</v>
      </c>
      <c r="O10" s="23" t="s">
        <v>947</v>
      </c>
    </row>
    <row r="11" spans="1:15" x14ac:dyDescent="0.2">
      <c r="A11" s="24" t="s">
        <v>708</v>
      </c>
      <c r="B11" s="21" t="s">
        <v>320</v>
      </c>
      <c r="C11" s="22" t="s">
        <v>17</v>
      </c>
      <c r="D11" s="21" t="s">
        <v>594</v>
      </c>
      <c r="E11" s="21" t="str">
        <f>CONCATENATE(Master_Roster[[#This Row],[Last Name]],", ",MID(Master_Roster[[#This Row],[First Name]],1,2))</f>
        <v>Lee, Ri</v>
      </c>
      <c r="F11" s="21" t="s">
        <v>75</v>
      </c>
      <c r="G11" s="21" t="s">
        <v>76</v>
      </c>
      <c r="H11" s="21" t="s">
        <v>17</v>
      </c>
      <c r="I11" s="21" t="s">
        <v>17</v>
      </c>
      <c r="J11" s="9" t="s">
        <v>17</v>
      </c>
      <c r="K11" s="21" t="s">
        <v>765</v>
      </c>
      <c r="L11" s="21" t="str">
        <f>IFERROR(VLOOKUP(Master_Roster[[#This Row],[Offical ID]],'Online Roster'!L$3:M$112,2,FALSE),"")</f>
        <v>CB</v>
      </c>
      <c r="M11" s="21" t="str" cm="1">
        <f t="array" ref="M1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1" s="21" t="str">
        <f>Master_Roster[[#This Row],[Offical ID]]</f>
        <v>Lee_Ricky_25</v>
      </c>
      <c r="O11" s="23" t="s">
        <v>948</v>
      </c>
    </row>
    <row r="12" spans="1:15" x14ac:dyDescent="0.2">
      <c r="A12" s="24" t="s">
        <v>708</v>
      </c>
      <c r="B12" s="21" t="s">
        <v>6</v>
      </c>
      <c r="C12" s="22" t="s">
        <v>6</v>
      </c>
      <c r="D12" s="21" t="s">
        <v>637</v>
      </c>
      <c r="E12" s="21" t="str">
        <f>CONCATENATE(Master_Roster[[#This Row],[Last Name]],", ",MID(Master_Roster[[#This Row],[First Name]],1,2))</f>
        <v>Mullican, El</v>
      </c>
      <c r="F12" s="21" t="s">
        <v>157</v>
      </c>
      <c r="G12" s="21" t="s">
        <v>158</v>
      </c>
      <c r="H12" s="21" t="s">
        <v>6</v>
      </c>
      <c r="I12" s="21" t="s">
        <v>6</v>
      </c>
      <c r="J12" s="9" t="s">
        <v>6</v>
      </c>
      <c r="K12" s="21" t="s">
        <v>769</v>
      </c>
      <c r="L12" s="21" t="str">
        <f>IFERROR(VLOOKUP(Master_Roster[[#This Row],[Offical ID]],'Online Roster'!L$3:M$112,2,FALSE),"")</f>
        <v>CB</v>
      </c>
      <c r="M12" s="21" t="str" cm="1">
        <f t="array" ref="M1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2" s="21" t="str">
        <f>Master_Roster[[#This Row],[Offical ID]]</f>
        <v>Mullican_Elias_25</v>
      </c>
      <c r="O12" s="23" t="s">
        <v>948</v>
      </c>
    </row>
    <row r="13" spans="1:15" x14ac:dyDescent="0.2">
      <c r="A13" s="24" t="s">
        <v>708</v>
      </c>
      <c r="B13" s="21" t="s">
        <v>8</v>
      </c>
      <c r="C13" s="22" t="s">
        <v>8</v>
      </c>
      <c r="D13" s="21" t="s">
        <v>617</v>
      </c>
      <c r="E13" s="21" t="str">
        <f>CONCATENATE(Master_Roster[[#This Row],[Last Name]],", ",MID(Master_Roster[[#This Row],[First Name]],1,2))</f>
        <v>Oliver, Ja</v>
      </c>
      <c r="F13" s="21" t="s">
        <v>122</v>
      </c>
      <c r="G13" s="21" t="s">
        <v>123</v>
      </c>
      <c r="H13" s="21" t="s">
        <v>8</v>
      </c>
      <c r="I13" s="21" t="s">
        <v>8</v>
      </c>
      <c r="J13" s="9" t="s">
        <v>8</v>
      </c>
      <c r="K13" s="21" t="s">
        <v>770</v>
      </c>
      <c r="L13" s="21" t="str">
        <f>IFERROR(VLOOKUP(Master_Roster[[#This Row],[Offical ID]],'Online Roster'!L$3:M$112,2,FALSE),"")</f>
        <v>CB</v>
      </c>
      <c r="M13" s="21" t="str" cm="1">
        <f t="array" ref="M1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3" s="21" t="str">
        <f>Master_Roster[[#This Row],[Offical ID]]</f>
        <v>Oliver_Jason_25</v>
      </c>
      <c r="O13" s="23" t="s">
        <v>947</v>
      </c>
    </row>
    <row r="14" spans="1:15" x14ac:dyDescent="0.2">
      <c r="A14" s="24" t="s">
        <v>708</v>
      </c>
      <c r="B14" s="21" t="s">
        <v>61</v>
      </c>
      <c r="C14" s="22" t="s">
        <v>61</v>
      </c>
      <c r="D14" s="21" t="s">
        <v>696</v>
      </c>
      <c r="E14" s="21" t="str">
        <f>CONCATENATE(Master_Roster[[#This Row],[Last Name]],", ",MID(Master_Roster[[#This Row],[First Name]],1,2))</f>
        <v>Jefferson, Jo</v>
      </c>
      <c r="F14" s="21" t="s">
        <v>91</v>
      </c>
      <c r="G14" s="21" t="s">
        <v>169</v>
      </c>
      <c r="H14" s="21" t="s">
        <v>61</v>
      </c>
      <c r="I14" s="21" t="s">
        <v>61</v>
      </c>
      <c r="J14" s="9" t="s">
        <v>61</v>
      </c>
      <c r="K14" s="21" t="s">
        <v>781</v>
      </c>
      <c r="L14" s="21" t="str">
        <f>IFERROR(VLOOKUP(Master_Roster[[#This Row],[Offical ID]],'Online Roster'!L$3:M$112,2,FALSE),"")</f>
        <v>DL</v>
      </c>
      <c r="M14" s="21" t="str" cm="1">
        <f t="array" ref="M1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14" s="21" t="str">
        <f>Master_Roster[[#This Row],[Offical ID]]</f>
        <v>Jefferson_Jordan_25</v>
      </c>
      <c r="O14" s="23" t="s">
        <v>949</v>
      </c>
    </row>
    <row r="15" spans="1:15" x14ac:dyDescent="0.2">
      <c r="A15" s="24" t="s">
        <v>708</v>
      </c>
      <c r="B15" s="21" t="s">
        <v>304</v>
      </c>
      <c r="C15" s="22" t="s">
        <v>304</v>
      </c>
      <c r="D15" s="21" t="s">
        <v>697</v>
      </c>
      <c r="E15" s="21" t="str">
        <f>CONCATENATE(Master_Roster[[#This Row],[Last Name]],", ",MID(Master_Roster[[#This Row],[First Name]],1,2))</f>
        <v>Kindle, Ma</v>
      </c>
      <c r="F15" s="21" t="s">
        <v>263</v>
      </c>
      <c r="G15" s="21" t="s">
        <v>264</v>
      </c>
      <c r="H15" s="21" t="s">
        <v>304</v>
      </c>
      <c r="I15" s="21" t="s">
        <v>304</v>
      </c>
      <c r="J15" s="43" t="str">
        <f>Master_Roster[[#This Row],[Simple Name]]</f>
        <v>Malachi Kindle</v>
      </c>
      <c r="K15" s="21" t="s">
        <v>782</v>
      </c>
      <c r="L15" s="21" t="str">
        <f>IFERROR(VLOOKUP(Master_Roster[[#This Row],[Offical ID]],'Online Roster'!L$3:M$112,2,FALSE),"")</f>
        <v>DL</v>
      </c>
      <c r="M15" s="21" t="str" cm="1">
        <f t="array" ref="M1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15" s="21" t="str">
        <f>Master_Roster[[#This Row],[Offical ID]]</f>
        <v>Kindle_Malachi_25</v>
      </c>
      <c r="O15" s="23" t="s">
        <v>949</v>
      </c>
    </row>
    <row r="16" spans="1:15" x14ac:dyDescent="0.2">
      <c r="A16" s="24" t="s">
        <v>708</v>
      </c>
      <c r="B16" s="21" t="s">
        <v>72</v>
      </c>
      <c r="C16" s="22" t="s">
        <v>72</v>
      </c>
      <c r="D16" s="21" t="s">
        <v>600</v>
      </c>
      <c r="E16" s="21" t="str">
        <f>CONCATENATE(Master_Roster[[#This Row],[Last Name]],", ",MID(Master_Roster[[#This Row],[First Name]],1,2))</f>
        <v>Tagaloa, Br</v>
      </c>
      <c r="F16" s="21" t="s">
        <v>89</v>
      </c>
      <c r="G16" s="21" t="s">
        <v>90</v>
      </c>
      <c r="H16" s="21" t="s">
        <v>72</v>
      </c>
      <c r="I16" s="21" t="s">
        <v>72</v>
      </c>
      <c r="J16" s="30" t="s">
        <v>72</v>
      </c>
      <c r="K16" s="21" t="s">
        <v>787</v>
      </c>
      <c r="L16" s="21" t="str">
        <f>IFERROR(VLOOKUP(Master_Roster[[#This Row],[Offical ID]],'Online Roster'!L$3:M$112,2,FALSE),"")</f>
        <v>DL</v>
      </c>
      <c r="M16" s="21" t="str" cm="1">
        <f t="array" ref="M1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16" s="21" t="str">
        <f>Master_Roster[[#This Row],[Offical ID]]</f>
        <v>Tagaloa_Brodie_25</v>
      </c>
      <c r="O16" s="23" t="s">
        <v>949</v>
      </c>
    </row>
    <row r="17" spans="1:15" x14ac:dyDescent="0.2">
      <c r="A17" s="24" t="s">
        <v>708</v>
      </c>
      <c r="B17" s="21" t="s">
        <v>274</v>
      </c>
      <c r="C17" s="22" t="s">
        <v>274</v>
      </c>
      <c r="D17" s="21" t="s">
        <v>612</v>
      </c>
      <c r="E17" s="21" t="str">
        <f>CONCATENATE(Master_Roster[[#This Row],[Last Name]],", ",MID(Master_Roster[[#This Row],[First Name]],1,2))</f>
        <v>Tullis, Ma</v>
      </c>
      <c r="F17" s="21" t="s">
        <v>113</v>
      </c>
      <c r="G17" s="21" t="s">
        <v>114</v>
      </c>
      <c r="H17" s="21" t="s">
        <v>274</v>
      </c>
      <c r="I17" s="21" t="s">
        <v>274</v>
      </c>
      <c r="J17" s="9" t="s">
        <v>274</v>
      </c>
      <c r="K17" s="21" t="s">
        <v>788</v>
      </c>
      <c r="L17" s="21" t="str">
        <f>IFERROR(VLOOKUP(Master_Roster[[#This Row],[Offical ID]],'Online Roster'!L$3:M$112,2,FALSE),"")</f>
        <v>DL</v>
      </c>
      <c r="M17" s="21" t="str" cm="1">
        <f t="array" ref="M1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17" s="21" t="str">
        <f>Master_Roster[[#This Row],[Offical ID]]</f>
        <v>Tullis_Malik_25</v>
      </c>
      <c r="O17" s="23" t="s">
        <v>949</v>
      </c>
    </row>
    <row r="18" spans="1:15" x14ac:dyDescent="0.2">
      <c r="A18" s="24" t="s">
        <v>708</v>
      </c>
      <c r="B18" s="21" t="s">
        <v>303</v>
      </c>
      <c r="C18" s="22" t="s">
        <v>303</v>
      </c>
      <c r="D18" s="21" t="s">
        <v>694</v>
      </c>
      <c r="E18" s="21" t="str">
        <f>CONCATENATE(Master_Roster[[#This Row],[Last Name]],", ",MID(Master_Roster[[#This Row],[First Name]],1,2))</f>
        <v>Gillespie, Ja</v>
      </c>
      <c r="F18" s="21" t="s">
        <v>258</v>
      </c>
      <c r="G18" s="21" t="s">
        <v>259</v>
      </c>
      <c r="H18" s="21" t="s">
        <v>303</v>
      </c>
      <c r="I18" s="21" t="s">
        <v>303</v>
      </c>
      <c r="J18" s="21" t="s">
        <v>303</v>
      </c>
      <c r="K18" s="21" t="s">
        <v>779</v>
      </c>
      <c r="L18" s="21" t="str">
        <f>IFERROR(VLOOKUP(Master_Roster[[#This Row],[Offical ID]],'Online Roster'!L$3:M$112,2,FALSE),"")</f>
        <v>DL</v>
      </c>
      <c r="M18" s="21" t="str" cm="1">
        <f t="array" ref="M1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18" s="21" t="str">
        <f>Master_Roster[[#This Row],[Offical ID]]</f>
        <v>Gillespie_James_25</v>
      </c>
      <c r="O18" s="23" t="s">
        <v>947</v>
      </c>
    </row>
    <row r="19" spans="1:15" x14ac:dyDescent="0.2">
      <c r="A19" s="24" t="s">
        <v>708</v>
      </c>
      <c r="B19" s="21" t="s">
        <v>302</v>
      </c>
      <c r="C19" s="22" t="s">
        <v>302</v>
      </c>
      <c r="D19" s="21" t="s">
        <v>693</v>
      </c>
      <c r="E19" s="21" t="str">
        <f>CONCATENATE(Master_Roster[[#This Row],[Last Name]],", ",MID(Master_Roster[[#This Row],[First Name]],1,2))</f>
        <v>Massey, Sy</v>
      </c>
      <c r="F19" s="21" t="s">
        <v>256</v>
      </c>
      <c r="G19" s="21" t="s">
        <v>257</v>
      </c>
      <c r="H19" s="21" t="s">
        <v>302</v>
      </c>
      <c r="I19" s="21" t="s">
        <v>302</v>
      </c>
      <c r="J19" s="30" t="s">
        <v>302</v>
      </c>
      <c r="K19" s="21" t="s">
        <v>783</v>
      </c>
      <c r="L19" s="21" t="str">
        <f>IFERROR(VLOOKUP(Master_Roster[[#This Row],[Offical ID]],'Online Roster'!L$3:M$112,2,FALSE),"")</f>
        <v>DL</v>
      </c>
      <c r="M19" s="21" t="str" cm="1">
        <f t="array" ref="M1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19" s="21" t="str">
        <f>Master_Roster[[#This Row],[Offical ID]]</f>
        <v>Massey_Syncere_25</v>
      </c>
      <c r="O19" s="23" t="s">
        <v>947</v>
      </c>
    </row>
    <row r="20" spans="1:15" x14ac:dyDescent="0.2">
      <c r="A20" s="24" t="s">
        <v>708</v>
      </c>
      <c r="B20" s="21" t="s">
        <v>569</v>
      </c>
      <c r="C20" s="22" t="s">
        <v>62</v>
      </c>
      <c r="D20" s="21" t="s">
        <v>593</v>
      </c>
      <c r="E20" s="21" t="str">
        <f>CONCATENATE(Master_Roster[[#This Row],[Last Name]],", ",MID(Master_Roster[[#This Row],[First Name]],1,2))</f>
        <v>Swindle, Me</v>
      </c>
      <c r="F20" s="21" t="s">
        <v>267</v>
      </c>
      <c r="G20" s="21" t="s">
        <v>268</v>
      </c>
      <c r="H20" s="21" t="s">
        <v>62</v>
      </c>
      <c r="I20" s="21" t="s">
        <v>62</v>
      </c>
      <c r="J20" s="9" t="s">
        <v>62</v>
      </c>
      <c r="K20" s="21" t="s">
        <v>786</v>
      </c>
      <c r="L20" s="21" t="str">
        <f>IFERROR(VLOOKUP(Master_Roster[[#This Row],[Offical ID]],'Online Roster'!L$3:M$112,2,FALSE),"")</f>
        <v>DL</v>
      </c>
      <c r="M20" s="21" t="str" cm="1">
        <f t="array" ref="M2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20" s="21" t="str">
        <f>Master_Roster[[#This Row],[Offical ID]]</f>
        <v>Swindle_Melvin_25</v>
      </c>
      <c r="O20" s="23" t="s">
        <v>948</v>
      </c>
    </row>
    <row r="21" spans="1:15" x14ac:dyDescent="0.2">
      <c r="A21" s="24" t="s">
        <v>708</v>
      </c>
      <c r="B21" s="21" t="s">
        <v>60</v>
      </c>
      <c r="C21" s="22" t="s">
        <v>60</v>
      </c>
      <c r="D21" s="21" t="s">
        <v>664</v>
      </c>
      <c r="E21" s="21" t="str">
        <f>CONCATENATE(Master_Roster[[#This Row],[Last Name]],", ",MID(Master_Roster[[#This Row],[First Name]],1,2))</f>
        <v>Bailey, Mi</v>
      </c>
      <c r="F21" s="21" t="s">
        <v>210</v>
      </c>
      <c r="G21" s="21" t="s">
        <v>211</v>
      </c>
      <c r="H21" s="30" t="s">
        <v>60</v>
      </c>
      <c r="I21" s="30" t="s">
        <v>60</v>
      </c>
      <c r="J21" s="43" t="s">
        <v>60</v>
      </c>
      <c r="K21" s="21" t="s">
        <v>778</v>
      </c>
      <c r="L21" s="21" t="str">
        <f>IFERROR(VLOOKUP(Master_Roster[[#This Row],[Offical ID]],'Online Roster'!L$3:M$112,2,FALSE),"")</f>
        <v>DL</v>
      </c>
      <c r="M21" s="21" t="str" cm="1">
        <f t="array" ref="M2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21" s="21" t="str">
        <f>Master_Roster[[#This Row],[Offical ID]]</f>
        <v>Bailey_Miles_25</v>
      </c>
      <c r="O21" s="23" t="s">
        <v>948</v>
      </c>
    </row>
    <row r="22" spans="1:15" x14ac:dyDescent="0.2">
      <c r="A22" s="24" t="s">
        <v>708</v>
      </c>
      <c r="B22" s="21" t="s">
        <v>65</v>
      </c>
      <c r="C22" s="22" t="s">
        <v>65</v>
      </c>
      <c r="D22" s="21" t="s">
        <v>666</v>
      </c>
      <c r="E22" s="21" t="str">
        <f>CONCATENATE(Master_Roster[[#This Row],[Last Name]],", ",MID(Master_Roster[[#This Row],[First Name]],1,2))</f>
        <v>McGlothen, Ja</v>
      </c>
      <c r="F22" s="21" t="s">
        <v>213</v>
      </c>
      <c r="G22" s="21" t="s">
        <v>214</v>
      </c>
      <c r="H22" s="21" t="s">
        <v>65</v>
      </c>
      <c r="I22" s="21" t="s">
        <v>65</v>
      </c>
      <c r="J22" s="9" t="s">
        <v>65</v>
      </c>
      <c r="K22" s="21" t="s">
        <v>784</v>
      </c>
      <c r="L22" s="21" t="str">
        <f>IFERROR(VLOOKUP(Master_Roster[[#This Row],[Offical ID]],'Online Roster'!L$3:M$112,2,FALSE),"")</f>
        <v>DL</v>
      </c>
      <c r="M22" s="21" t="str" cm="1">
        <f t="array" ref="M2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22" s="21" t="str">
        <f>Master_Roster[[#This Row],[Offical ID]]</f>
        <v>McGlothen_Jayland_25</v>
      </c>
      <c r="O22" s="23" t="s">
        <v>948</v>
      </c>
    </row>
    <row r="23" spans="1:15" ht="16.5" x14ac:dyDescent="0.2">
      <c r="A23" s="24" t="s">
        <v>708</v>
      </c>
      <c r="B23" s="21" t="s">
        <v>59</v>
      </c>
      <c r="C23" s="22" t="s">
        <v>59</v>
      </c>
      <c r="D23" s="21" t="s">
        <v>667</v>
      </c>
      <c r="E23" s="21" t="str">
        <f>CONCATENATE(Master_Roster[[#This Row],[Last Name]],", ",MID(Master_Roster[[#This Row],[First Name]],1,2))</f>
        <v>Watts, De</v>
      </c>
      <c r="F23" s="21" t="s">
        <v>215</v>
      </c>
      <c r="G23" s="21" t="s">
        <v>216</v>
      </c>
      <c r="H23" s="21" t="s">
        <v>59</v>
      </c>
      <c r="I23" s="21" t="s">
        <v>59</v>
      </c>
      <c r="J23" s="9" t="s">
        <v>59</v>
      </c>
      <c r="K23" s="105" t="s">
        <v>962</v>
      </c>
      <c r="L23" s="21" t="str">
        <f>IFERROR(VLOOKUP(Master_Roster[[#This Row],[Offical ID]],'Online Roster'!L$3:M$112,2,FALSE),"")</f>
        <v>DL</v>
      </c>
      <c r="M23" s="21" t="str" cm="1">
        <f t="array" ref="M2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23" s="21" t="str">
        <f>Master_Roster[[#This Row],[Offical ID]]</f>
        <v>Watts_DeSean_25</v>
      </c>
      <c r="O23" s="23" t="s">
        <v>948</v>
      </c>
    </row>
    <row r="24" spans="1:15" x14ac:dyDescent="0.2">
      <c r="A24" s="24" t="s">
        <v>708</v>
      </c>
      <c r="B24" s="21" t="s">
        <v>1</v>
      </c>
      <c r="C24" s="22" t="s">
        <v>1</v>
      </c>
      <c r="D24" s="21" t="s">
        <v>657</v>
      </c>
      <c r="E24" s="21" t="str">
        <f>CONCATENATE(Master_Roster[[#This Row],[Last Name]],", ",MID(Master_Roster[[#This Row],[First Name]],1,2))</f>
        <v>Williams, Xa</v>
      </c>
      <c r="F24" s="21" t="s">
        <v>196</v>
      </c>
      <c r="G24" s="21" t="s">
        <v>105</v>
      </c>
      <c r="H24" s="21" t="s">
        <v>1</v>
      </c>
      <c r="I24" s="21" t="s">
        <v>1</v>
      </c>
      <c r="J24" s="9" t="s">
        <v>1</v>
      </c>
      <c r="K24" s="21" t="s">
        <v>789</v>
      </c>
      <c r="L24" s="21" t="str">
        <f>IFERROR(VLOOKUP(Master_Roster[[#This Row],[Offical ID]],'Online Roster'!L$3:M$112,2,FALSE),"")</f>
        <v>DL</v>
      </c>
      <c r="M24" s="21" t="str" cm="1">
        <f t="array" ref="M2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24" s="21" t="str">
        <f>Master_Roster[[#This Row],[Offical ID]]</f>
        <v>Williams_Xavier_25</v>
      </c>
      <c r="O24" s="23" t="s">
        <v>948</v>
      </c>
    </row>
    <row r="25" spans="1:15" x14ac:dyDescent="0.2">
      <c r="A25" s="24" t="s">
        <v>708</v>
      </c>
      <c r="B25" s="21" t="s">
        <v>32</v>
      </c>
      <c r="C25" s="22" t="s">
        <v>32</v>
      </c>
      <c r="D25" s="21" t="s">
        <v>652</v>
      </c>
      <c r="E25" s="21" t="str">
        <f>CONCATENATE(Master_Roster[[#This Row],[Last Name]],", ",MID(Master_Roster[[#This Row],[First Name]],1,2))</f>
        <v>Norris, Sa</v>
      </c>
      <c r="F25" s="21" t="s">
        <v>189</v>
      </c>
      <c r="G25" s="21" t="s">
        <v>190</v>
      </c>
      <c r="H25" s="21" t="s">
        <v>32</v>
      </c>
      <c r="I25" s="21" t="s">
        <v>32</v>
      </c>
      <c r="J25" s="30" t="s">
        <v>32</v>
      </c>
      <c r="K25" s="21" t="s">
        <v>837</v>
      </c>
      <c r="L25" s="21" t="str">
        <f>IFERROR(VLOOKUP(Master_Roster[[#This Row],[Offical ID]],'Online Roster'!L$3:M$112,2,FALSE),"")</f>
        <v>FB</v>
      </c>
      <c r="M25" s="21" t="str" cm="1">
        <f t="array" ref="M2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25" s="21" t="str">
        <f>Master_Roster[[#This Row],[Offical ID]]</f>
        <v>Norris_Sammy_25</v>
      </c>
      <c r="O25" s="23" t="s">
        <v>947</v>
      </c>
    </row>
    <row r="26" spans="1:15" x14ac:dyDescent="0.2">
      <c r="A26" s="24" t="s">
        <v>708</v>
      </c>
      <c r="B26" s="21" t="s">
        <v>58</v>
      </c>
      <c r="C26" s="22" t="s">
        <v>58</v>
      </c>
      <c r="D26" s="21" t="s">
        <v>674</v>
      </c>
      <c r="E26" s="21" t="str">
        <f>CONCATENATE(Master_Roster[[#This Row],[Last Name]],", ",MID(Master_Roster[[#This Row],[First Name]],1,2))</f>
        <v>Slater, Lu</v>
      </c>
      <c r="F26" s="21" t="s">
        <v>226</v>
      </c>
      <c r="G26" s="21" t="s">
        <v>227</v>
      </c>
      <c r="H26" s="21" t="s">
        <v>58</v>
      </c>
      <c r="I26" s="21" t="s">
        <v>58</v>
      </c>
      <c r="J26" s="30" t="s">
        <v>58</v>
      </c>
      <c r="K26" s="21" t="s">
        <v>821</v>
      </c>
      <c r="L26" s="21" t="s">
        <v>483</v>
      </c>
      <c r="M26" s="21" t="str" cm="1">
        <f t="array" ref="M2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26" s="21" t="str">
        <f>Master_Roster[[#This Row],[Offical ID]]</f>
        <v>Slater_Luke_25</v>
      </c>
      <c r="O26" s="23" t="s">
        <v>947</v>
      </c>
    </row>
    <row r="27" spans="1:15" x14ac:dyDescent="0.2">
      <c r="A27" s="24" t="s">
        <v>708</v>
      </c>
      <c r="B27" s="21" t="s">
        <v>3</v>
      </c>
      <c r="C27" s="22" t="s">
        <v>3</v>
      </c>
      <c r="D27" s="21" t="s">
        <v>650</v>
      </c>
      <c r="E27" s="21" t="str">
        <f>CONCATENATE(Master_Roster[[#This Row],[Last Name]],", ",MID(Master_Roster[[#This Row],[First Name]],1,2))</f>
        <v>Boeddeker, Hu</v>
      </c>
      <c r="F27" s="21" t="s">
        <v>182</v>
      </c>
      <c r="G27" s="21" t="s">
        <v>183</v>
      </c>
      <c r="H27" s="21" t="s">
        <v>3</v>
      </c>
      <c r="I27" s="21" t="s">
        <v>3</v>
      </c>
      <c r="J27" s="30" t="s">
        <v>3</v>
      </c>
      <c r="K27" s="21" t="s">
        <v>790</v>
      </c>
      <c r="L27" s="21" t="s">
        <v>425</v>
      </c>
      <c r="M27" s="21" t="str" cm="1">
        <f t="array" ref="M2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27" s="21" t="str">
        <f>Master_Roster[[#This Row],[Offical ID]]</f>
        <v>Boeddeker_Hunter_25</v>
      </c>
      <c r="O27" s="23" t="s">
        <v>949</v>
      </c>
    </row>
    <row r="28" spans="1:15" x14ac:dyDescent="0.2">
      <c r="A28" s="24" t="s">
        <v>708</v>
      </c>
      <c r="B28" s="21" t="s">
        <v>287</v>
      </c>
      <c r="C28" s="22" t="s">
        <v>287</v>
      </c>
      <c r="D28" s="21" t="s">
        <v>647</v>
      </c>
      <c r="E28" s="21" t="str">
        <f>CONCATENATE(Master_Roster[[#This Row],[Last Name]],", ",MID(Master_Roster[[#This Row],[First Name]],1,2))</f>
        <v>Cahoon, Ja</v>
      </c>
      <c r="F28" s="21" t="s">
        <v>174</v>
      </c>
      <c r="G28" s="21" t="s">
        <v>175</v>
      </c>
      <c r="H28" s="21" t="s">
        <v>287</v>
      </c>
      <c r="I28" s="21" t="s">
        <v>287</v>
      </c>
      <c r="J28" s="41" t="str">
        <f>Master_Roster[[#This Row],[Simple Name]]</f>
        <v>Jackson Cahoon</v>
      </c>
      <c r="K28" s="21" t="s">
        <v>791</v>
      </c>
      <c r="L28" s="21" t="str">
        <f>IFERROR(VLOOKUP(Master_Roster[[#This Row],[Offical ID]],'Online Roster'!L$3:M$112,2,FALSE),"")</f>
        <v>ILB</v>
      </c>
      <c r="M28" s="21" t="str" cm="1">
        <f t="array" ref="M2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28" s="21" t="str">
        <f>Master_Roster[[#This Row],[Offical ID]]</f>
        <v>Cahoon_Jackson_25</v>
      </c>
      <c r="O28" s="23" t="s">
        <v>949</v>
      </c>
    </row>
    <row r="29" spans="1:15" x14ac:dyDescent="0.2">
      <c r="A29" s="24" t="s">
        <v>708</v>
      </c>
      <c r="B29" s="21" t="s">
        <v>285</v>
      </c>
      <c r="C29" s="22" t="s">
        <v>285</v>
      </c>
      <c r="D29" s="21" t="s">
        <v>643</v>
      </c>
      <c r="E29" s="21" t="str">
        <f>CONCATENATE(Master_Roster[[#This Row],[Last Name]],", ",MID(Master_Roster[[#This Row],[First Name]],1,2))</f>
        <v>Taylor, Mi</v>
      </c>
      <c r="F29" s="21" t="s">
        <v>166</v>
      </c>
      <c r="G29" s="21" t="s">
        <v>153</v>
      </c>
      <c r="H29" s="21" t="s">
        <v>285</v>
      </c>
      <c r="I29" s="21" t="s">
        <v>285</v>
      </c>
      <c r="J29" s="41" t="str">
        <f>Master_Roster[[#This Row],[Simple Name]]</f>
        <v>Mike Taylor</v>
      </c>
      <c r="K29" s="21" t="s">
        <v>803</v>
      </c>
      <c r="L29" s="21" t="str">
        <f>IFERROR(VLOOKUP(Master_Roster[[#This Row],[Offical ID]],'Online Roster'!L$3:M$112,2,FALSE),"")</f>
        <v>ILB</v>
      </c>
      <c r="M29" s="21" t="str" cm="1">
        <f t="array" ref="M2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29" s="21" t="str">
        <f>Master_Roster[[#This Row],[Offical ID]]</f>
        <v>Taylor_Mike_25</v>
      </c>
      <c r="O29" s="23" t="s">
        <v>949</v>
      </c>
    </row>
    <row r="30" spans="1:15" x14ac:dyDescent="0.2">
      <c r="A30" s="24" t="s">
        <v>708</v>
      </c>
      <c r="B30" s="21" t="s">
        <v>471</v>
      </c>
      <c r="C30" s="22" t="s">
        <v>288</v>
      </c>
      <c r="D30" s="21" t="s">
        <v>581</v>
      </c>
      <c r="E30" s="21" t="str">
        <f>CONCATENATE(Master_Roster[[#This Row],[Last Name]],", ",MID(Master_Roster[[#This Row],[First Name]],1,2))</f>
        <v>Eskridge, Ma</v>
      </c>
      <c r="F30" s="21" t="s">
        <v>176</v>
      </c>
      <c r="G30" s="21" t="s">
        <v>177</v>
      </c>
      <c r="H30" s="21" t="s">
        <v>288</v>
      </c>
      <c r="I30" s="21" t="s">
        <v>288</v>
      </c>
      <c r="J30" s="30" t="s">
        <v>288</v>
      </c>
      <c r="K30" s="21" t="s">
        <v>794</v>
      </c>
      <c r="L30" s="21" t="str">
        <f>IFERROR(VLOOKUP(Master_Roster[[#This Row],[Offical ID]],'Online Roster'!L$3:M$112,2,FALSE),"")</f>
        <v>ILB</v>
      </c>
      <c r="M30" s="21" t="str" cm="1">
        <f t="array" ref="M3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30" s="21" t="str">
        <f>Master_Roster[[#This Row],[Offical ID]]</f>
        <v>Eskridge_Matthew_25</v>
      </c>
      <c r="O30" s="23" t="s">
        <v>949</v>
      </c>
    </row>
    <row r="31" spans="1:15" x14ac:dyDescent="0.2">
      <c r="A31" s="24" t="s">
        <v>708</v>
      </c>
      <c r="B31" s="21" t="s">
        <v>463</v>
      </c>
      <c r="C31" s="22" t="s">
        <v>463</v>
      </c>
      <c r="D31" s="21" t="s">
        <v>644</v>
      </c>
      <c r="E31" s="21" t="str">
        <f>CONCATENATE(Master_Roster[[#This Row],[Last Name]],", ",MID(Master_Roster[[#This Row],[First Name]],1,2))</f>
        <v>Jefferson, KJ</v>
      </c>
      <c r="F31" s="21" t="s">
        <v>703</v>
      </c>
      <c r="G31" s="21" t="s">
        <v>169</v>
      </c>
      <c r="H31" s="21" t="s">
        <v>463</v>
      </c>
      <c r="I31" s="30" t="s">
        <v>463</v>
      </c>
      <c r="J31" s="41" t="str">
        <f>Master_Roster[[#This Row],[Simple Name]]</f>
        <v>KJ Jefferson</v>
      </c>
      <c r="K31" s="21" t="s">
        <v>797</v>
      </c>
      <c r="L31" s="21" t="s">
        <v>425</v>
      </c>
      <c r="M31" s="21" t="s">
        <v>878</v>
      </c>
      <c r="N31" s="21" t="str">
        <f>Master_Roster[[#This Row],[Offical ID]]</f>
        <v>Jefferson_KJ_25</v>
      </c>
      <c r="O31" s="23" t="s">
        <v>949</v>
      </c>
    </row>
    <row r="32" spans="1:15" x14ac:dyDescent="0.2">
      <c r="A32" s="24" t="s">
        <v>708</v>
      </c>
      <c r="B32" s="21" t="s">
        <v>278</v>
      </c>
      <c r="C32" s="22" t="s">
        <v>278</v>
      </c>
      <c r="D32" s="21" t="s">
        <v>625</v>
      </c>
      <c r="E32" s="21" t="str">
        <f>CONCATENATE(Master_Roster[[#This Row],[Last Name]],", ",MID(Master_Roster[[#This Row],[First Name]],1,2))</f>
        <v>Jones, Je</v>
      </c>
      <c r="F32" s="21" t="s">
        <v>135</v>
      </c>
      <c r="G32" s="21" t="s">
        <v>136</v>
      </c>
      <c r="H32" s="21" t="s">
        <v>278</v>
      </c>
      <c r="I32" s="21" t="s">
        <v>278</v>
      </c>
      <c r="J32" s="43" t="str">
        <f>Master_Roster[[#This Row],[Simple Name]]</f>
        <v>Jekob Jones</v>
      </c>
      <c r="K32" s="21" t="s">
        <v>798</v>
      </c>
      <c r="L32" s="21" t="str">
        <f>IFERROR(VLOOKUP(Master_Roster[[#This Row],[Offical ID]],'Online Roster'!L$3:M$112,2,FALSE),"")</f>
        <v>ILB</v>
      </c>
      <c r="M32" s="21" t="str" cm="1">
        <f t="array" ref="M3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32" s="21" t="str">
        <f>Master_Roster[[#This Row],[Offical ID]]</f>
        <v>Jones_Jekob_25</v>
      </c>
      <c r="O32" s="23" t="s">
        <v>949</v>
      </c>
    </row>
    <row r="33" spans="1:15" x14ac:dyDescent="0.2">
      <c r="A33" s="24" t="s">
        <v>708</v>
      </c>
      <c r="B33" s="21" t="s">
        <v>4</v>
      </c>
      <c r="C33" s="22" t="s">
        <v>4</v>
      </c>
      <c r="D33" s="21" t="s">
        <v>648</v>
      </c>
      <c r="E33" s="21" t="str">
        <f>CONCATENATE(Master_Roster[[#This Row],[Last Name]],", ",MID(Master_Roster[[#This Row],[First Name]],1,2))</f>
        <v>Rocha, Al</v>
      </c>
      <c r="F33" s="21" t="s">
        <v>178</v>
      </c>
      <c r="G33" s="21" t="s">
        <v>179</v>
      </c>
      <c r="H33" s="21" t="s">
        <v>4</v>
      </c>
      <c r="I33" s="21" t="s">
        <v>4</v>
      </c>
      <c r="J33" s="9" t="s">
        <v>4</v>
      </c>
      <c r="K33" s="21" t="s">
        <v>801</v>
      </c>
      <c r="L33" s="21" t="str">
        <f>IFERROR(VLOOKUP(Master_Roster[[#This Row],[Offical ID]],'Online Roster'!L$3:M$112,2,FALSE),"")</f>
        <v>ILB</v>
      </c>
      <c r="M33" s="21" t="str" cm="1">
        <f t="array" ref="M3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33" s="21" t="str">
        <f>Master_Roster[[#This Row],[Offical ID]]</f>
        <v>Rocha_Alex_25</v>
      </c>
      <c r="O33" s="23" t="s">
        <v>949</v>
      </c>
    </row>
    <row r="34" spans="1:15" x14ac:dyDescent="0.2">
      <c r="A34" s="24" t="s">
        <v>708</v>
      </c>
      <c r="B34" s="30" t="s">
        <v>875</v>
      </c>
      <c r="C34" s="30" t="s">
        <v>875</v>
      </c>
      <c r="D34" s="21" t="s">
        <v>879</v>
      </c>
      <c r="E34" s="21" t="str">
        <f>CONCATENATE(Master_Roster[[#This Row],[Last Name]],", ",MID(Master_Roster[[#This Row],[First Name]],1,2))</f>
        <v>Susini, Ma</v>
      </c>
      <c r="F34" s="21" t="s">
        <v>876</v>
      </c>
      <c r="G34" s="21" t="s">
        <v>877</v>
      </c>
      <c r="H34" s="30" t="s">
        <v>874</v>
      </c>
      <c r="I34" s="30" t="s">
        <v>893</v>
      </c>
      <c r="J34" s="9" t="s">
        <v>875</v>
      </c>
      <c r="K34" s="21" t="str">
        <f>CONCATENATE(Master_Roster[[#This Row],[Last Name]],", ",Master_Roster[[#This Row],[First Name]])</f>
        <v>Susini, Max</v>
      </c>
      <c r="L34" s="21" t="s">
        <v>425</v>
      </c>
      <c r="M34" s="21" t="s">
        <v>878</v>
      </c>
      <c r="N34" s="21" t="str">
        <f>Master_Roster[[#This Row],[Offical ID]]</f>
        <v>Susini_Max_25</v>
      </c>
      <c r="O34" s="23" t="s">
        <v>949</v>
      </c>
    </row>
    <row r="35" spans="1:15" x14ac:dyDescent="0.2">
      <c r="A35" s="24" t="s">
        <v>708</v>
      </c>
      <c r="B35" s="21" t="s">
        <v>18</v>
      </c>
      <c r="C35" s="22" t="s">
        <v>18</v>
      </c>
      <c r="D35" s="21" t="s">
        <v>603</v>
      </c>
      <c r="E35" s="21" t="str">
        <f>CONCATENATE(Master_Roster[[#This Row],[Last Name]],", ",MID(Master_Roster[[#This Row],[First Name]],1,2))</f>
        <v>Moore, Os</v>
      </c>
      <c r="F35" s="21" t="s">
        <v>100</v>
      </c>
      <c r="G35" s="21" t="s">
        <v>101</v>
      </c>
      <c r="H35" s="21" t="s">
        <v>18</v>
      </c>
      <c r="I35" s="21" t="s">
        <v>18</v>
      </c>
      <c r="J35" s="9" t="s">
        <v>18</v>
      </c>
      <c r="K35" s="21" t="s">
        <v>768</v>
      </c>
      <c r="L35" s="21" t="s">
        <v>425</v>
      </c>
      <c r="M35" s="21" t="str" cm="1">
        <f t="array" ref="M3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35" s="21" t="str">
        <f>Master_Roster[[#This Row],[Offical ID]]</f>
        <v>Moore_Oscar_25</v>
      </c>
      <c r="O35" s="23" t="s">
        <v>947</v>
      </c>
    </row>
    <row r="36" spans="1:15" x14ac:dyDescent="0.2">
      <c r="A36" s="24" t="s">
        <v>708</v>
      </c>
      <c r="B36" s="21" t="s">
        <v>47</v>
      </c>
      <c r="C36" s="22" t="s">
        <v>47</v>
      </c>
      <c r="D36" s="21" t="s">
        <v>656</v>
      </c>
      <c r="E36" s="21" t="str">
        <f>CONCATENATE(Master_Roster[[#This Row],[Last Name]],", ",MID(Master_Roster[[#This Row],[First Name]],1,2))</f>
        <v>Davis, Di</v>
      </c>
      <c r="F36" s="21" t="s">
        <v>184</v>
      </c>
      <c r="G36" s="21" t="s">
        <v>185</v>
      </c>
      <c r="H36" s="21" t="s">
        <v>47</v>
      </c>
      <c r="I36" s="23" t="s">
        <v>47</v>
      </c>
      <c r="J36" s="30" t="s">
        <v>47</v>
      </c>
      <c r="K36" s="21" t="s">
        <v>793</v>
      </c>
      <c r="L36" s="21" t="str">
        <f>IFERROR(VLOOKUP(Master_Roster[[#This Row],[Offical ID]],'Online Roster'!L$3:M$112,2,FALSE),"")</f>
        <v>ILB</v>
      </c>
      <c r="M36" s="21" t="str" cm="1">
        <f t="array" ref="M3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36" s="21" t="str">
        <f>Master_Roster[[#This Row],[Offical ID]]</f>
        <v>Davis_Diego_25</v>
      </c>
      <c r="O36" s="23" t="s">
        <v>948</v>
      </c>
    </row>
    <row r="37" spans="1:15" x14ac:dyDescent="0.2">
      <c r="A37" s="24" t="s">
        <v>708</v>
      </c>
      <c r="B37" s="21" t="s">
        <v>68</v>
      </c>
      <c r="C37" s="22" t="s">
        <v>68</v>
      </c>
      <c r="D37" s="21" t="s">
        <v>653</v>
      </c>
      <c r="E37" s="21" t="str">
        <f>CONCATENATE(Master_Roster[[#This Row],[Last Name]],", ",MID(Master_Roster[[#This Row],[First Name]],1,2))</f>
        <v>Houston, De</v>
      </c>
      <c r="F37" s="21" t="s">
        <v>191</v>
      </c>
      <c r="G37" s="21" t="s">
        <v>192</v>
      </c>
      <c r="H37" s="21" t="s">
        <v>68</v>
      </c>
      <c r="I37" s="21" t="s">
        <v>68</v>
      </c>
      <c r="J37" s="21" t="s">
        <v>68</v>
      </c>
      <c r="K37" s="21" t="s">
        <v>796</v>
      </c>
      <c r="L37" s="21" t="str">
        <f>IFERROR(VLOOKUP(Master_Roster[[#This Row],[Offical ID]],'Online Roster'!L$3:M$112,2,FALSE),"")</f>
        <v>ILB</v>
      </c>
      <c r="M37" s="21" t="str" cm="1">
        <f t="array" ref="M3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37" s="21" t="str">
        <f>Master_Roster[[#This Row],[Offical ID]]</f>
        <v>Houston_Derek_25</v>
      </c>
      <c r="O37" s="23" t="s">
        <v>948</v>
      </c>
    </row>
    <row r="38" spans="1:15" x14ac:dyDescent="0.2">
      <c r="A38" s="24" t="s">
        <v>708</v>
      </c>
      <c r="B38" s="21" t="s">
        <v>43</v>
      </c>
      <c r="C38" s="22" t="s">
        <v>43</v>
      </c>
      <c r="D38" s="21" t="s">
        <v>699</v>
      </c>
      <c r="E38" s="21" t="str">
        <f>CONCATENATE(Master_Roster[[#This Row],[Last Name]],", ",MID(Master_Roster[[#This Row],[First Name]],1,2))</f>
        <v>Firebaugh, Jo</v>
      </c>
      <c r="F38" s="21" t="s">
        <v>203</v>
      </c>
      <c r="G38" s="21" t="s">
        <v>269</v>
      </c>
      <c r="H38" s="21" t="s">
        <v>43</v>
      </c>
      <c r="I38" s="21" t="s">
        <v>43</v>
      </c>
      <c r="J38" s="21" t="s">
        <v>43</v>
      </c>
      <c r="K38" s="21" t="s">
        <v>840</v>
      </c>
      <c r="L38" s="21" t="str">
        <f>IFERROR(VLOOKUP(Master_Roster[[#This Row],[Offical ID]],'Online Roster'!L$3:M$112,2,FALSE),"")</f>
        <v>K</v>
      </c>
      <c r="M38" s="21" t="str" cm="1">
        <f t="array" ref="M3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Spec</v>
      </c>
      <c r="N38" s="21" t="str">
        <f>Master_Roster[[#This Row],[Offical ID]]</f>
        <v>Firebaugh_Joseph_25</v>
      </c>
      <c r="O38" s="23" t="s">
        <v>949</v>
      </c>
    </row>
    <row r="39" spans="1:15" x14ac:dyDescent="0.2">
      <c r="A39" s="24" t="s">
        <v>708</v>
      </c>
      <c r="B39" s="21" t="s">
        <v>39</v>
      </c>
      <c r="C39" s="22" t="s">
        <v>39</v>
      </c>
      <c r="D39" s="21" t="s">
        <v>660</v>
      </c>
      <c r="E39" s="21" t="str">
        <f>CONCATENATE(Master_Roster[[#This Row],[Last Name]],", ",MID(Master_Roster[[#This Row],[First Name]],1,2))</f>
        <v>Meadors, Gr</v>
      </c>
      <c r="F39" s="21" t="s">
        <v>200</v>
      </c>
      <c r="G39" s="21" t="s">
        <v>201</v>
      </c>
      <c r="H39" s="21" t="s">
        <v>39</v>
      </c>
      <c r="I39" s="21" t="s">
        <v>39</v>
      </c>
      <c r="J39" s="30" t="s">
        <v>39</v>
      </c>
      <c r="K39" s="21" t="s">
        <v>842</v>
      </c>
      <c r="L39" s="21" t="str">
        <f>IFERROR(VLOOKUP(Master_Roster[[#This Row],[Offical ID]],'Online Roster'!L$3:M$112,2,FALSE),"")</f>
        <v>K</v>
      </c>
      <c r="M39" s="21" t="str" cm="1">
        <f t="array" ref="M3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Spec</v>
      </c>
      <c r="N39" s="21" t="str">
        <f>Master_Roster[[#This Row],[Offical ID]]</f>
        <v>Meadors_Grant_25</v>
      </c>
      <c r="O39" s="23" t="s">
        <v>949</v>
      </c>
    </row>
    <row r="40" spans="1:15" x14ac:dyDescent="0.2">
      <c r="A40" s="24" t="s">
        <v>708</v>
      </c>
      <c r="B40" s="21" t="s">
        <v>955</v>
      </c>
      <c r="C40" s="21" t="s">
        <v>955</v>
      </c>
      <c r="D40" s="21" t="s">
        <v>957</v>
      </c>
      <c r="E40" s="21" t="str">
        <f>CONCATENATE(Master_Roster[[#This Row],[Last Name]],", ",MID(Master_Roster[[#This Row],[First Name]],1,2))</f>
        <v>Adams, Ha</v>
      </c>
      <c r="F40" s="21" t="s">
        <v>954</v>
      </c>
      <c r="G40" s="21" t="s">
        <v>168</v>
      </c>
      <c r="H40" s="21" t="s">
        <v>956</v>
      </c>
      <c r="I40" s="21" t="s">
        <v>955</v>
      </c>
      <c r="J40" s="21" t="s">
        <v>955</v>
      </c>
      <c r="K40" s="21" t="str">
        <f>CONCATENATE(Master_Roster[[#This Row],[Last Name]],", ",Master_Roster[[#This Row],[First Name]])</f>
        <v>Adams, Hamish</v>
      </c>
      <c r="L40" s="21" t="s">
        <v>202</v>
      </c>
      <c r="M40" s="21" t="str" cm="1">
        <f t="array" ref="M4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Spec</v>
      </c>
      <c r="N40" s="21" t="str">
        <f>Master_Roster[[#This Row],[Offical ID]]</f>
        <v>Adams_Hamish_25</v>
      </c>
      <c r="O40" s="23" t="s">
        <v>949</v>
      </c>
    </row>
    <row r="41" spans="1:15" x14ac:dyDescent="0.2">
      <c r="A41" s="24" t="s">
        <v>708</v>
      </c>
      <c r="B41" s="21" t="s">
        <v>36</v>
      </c>
      <c r="C41" s="22" t="s">
        <v>36</v>
      </c>
      <c r="D41" s="21" t="s">
        <v>658</v>
      </c>
      <c r="E41" s="21" t="str">
        <f>CONCATENATE(Master_Roster[[#This Row],[Last Name]],", ",MID(Master_Roster[[#This Row],[First Name]],1,2))</f>
        <v>Johnston, Ad</v>
      </c>
      <c r="F41" s="21" t="s">
        <v>152</v>
      </c>
      <c r="G41" s="21" t="s">
        <v>197</v>
      </c>
      <c r="H41" s="21" t="s">
        <v>36</v>
      </c>
      <c r="I41" s="21" t="s">
        <v>36</v>
      </c>
      <c r="J41" s="41" t="str">
        <f>Master_Roster[[#This Row],[Simple Name]]</f>
        <v>Adam Johnston</v>
      </c>
      <c r="K41" s="21" t="s">
        <v>806</v>
      </c>
      <c r="L41" s="21" t="str">
        <f>IFERROR(VLOOKUP(Master_Roster[[#This Row],[Offical ID]],'Online Roster'!L$3:M$112,2,FALSE),"")</f>
        <v>LS</v>
      </c>
      <c r="M41" s="21" t="str" cm="1">
        <f t="array" ref="M4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Spec</v>
      </c>
      <c r="N41" s="21" t="str">
        <f>Master_Roster[[#This Row],[Offical ID]]</f>
        <v>Johnston_Adam_25</v>
      </c>
      <c r="O41" s="23" t="s">
        <v>949</v>
      </c>
    </row>
    <row r="42" spans="1:15" x14ac:dyDescent="0.2">
      <c r="A42" s="24" t="s">
        <v>708</v>
      </c>
      <c r="B42" s="21" t="s">
        <v>37</v>
      </c>
      <c r="C42" s="22" t="s">
        <v>37</v>
      </c>
      <c r="D42" s="21" t="s">
        <v>651</v>
      </c>
      <c r="E42" s="21" t="str">
        <f>CONCATENATE(Master_Roster[[#This Row],[Last Name]],", ",MID(Master_Roster[[#This Row],[First Name]],1,2))</f>
        <v>McDowell, Co</v>
      </c>
      <c r="F42" s="21" t="s">
        <v>186</v>
      </c>
      <c r="G42" s="21" t="s">
        <v>187</v>
      </c>
      <c r="H42" s="21" t="s">
        <v>37</v>
      </c>
      <c r="I42" s="21" t="s">
        <v>37</v>
      </c>
      <c r="J42" s="43" t="str">
        <f>Master_Roster[[#This Row],[Simple Name]]</f>
        <v>Connor McDowell</v>
      </c>
      <c r="K42" s="21" t="s">
        <v>807</v>
      </c>
      <c r="L42" s="21" t="str">
        <f>IFERROR(VLOOKUP(Master_Roster[[#This Row],[Offical ID]],'Online Roster'!L$3:M$112,2,FALSE),"")</f>
        <v>LS</v>
      </c>
      <c r="M42" s="21" t="str" cm="1">
        <f t="array" ref="M4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Spec</v>
      </c>
      <c r="N42" s="21" t="str">
        <f>Master_Roster[[#This Row],[Offical ID]]</f>
        <v>McDowell_Connor_25</v>
      </c>
      <c r="O42" s="23" t="s">
        <v>949</v>
      </c>
    </row>
    <row r="43" spans="1:15" x14ac:dyDescent="0.2">
      <c r="A43" s="24" t="s">
        <v>708</v>
      </c>
      <c r="B43" s="21" t="s">
        <v>50</v>
      </c>
      <c r="C43" s="22" t="s">
        <v>50</v>
      </c>
      <c r="D43" s="21" t="s">
        <v>673</v>
      </c>
      <c r="E43" s="21" t="str">
        <f>CONCATENATE(Master_Roster[[#This Row],[Last Name]],", ",MID(Master_Roster[[#This Row],[First Name]],1,2))</f>
        <v>Kovacs, Gi</v>
      </c>
      <c r="F43" s="21" t="s">
        <v>224</v>
      </c>
      <c r="G43" s="21" t="s">
        <v>225</v>
      </c>
      <c r="H43" s="21" t="s">
        <v>50</v>
      </c>
      <c r="I43" s="23" t="s">
        <v>50</v>
      </c>
      <c r="J43" s="30" t="s">
        <v>50</v>
      </c>
      <c r="K43" s="21" t="s">
        <v>812</v>
      </c>
      <c r="L43" s="21" t="str">
        <f>IFERROR(VLOOKUP(Master_Roster[[#This Row],[Offical ID]],'Online Roster'!L$3:M$112,2,FALSE),"")</f>
        <v>OL</v>
      </c>
      <c r="M43" s="21" t="str" cm="1">
        <f t="array" ref="M4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43" s="21" t="str">
        <f>Master_Roster[[#This Row],[Offical ID]]</f>
        <v>Kovacs_Giovanni_25</v>
      </c>
      <c r="O43" s="23" t="s">
        <v>949</v>
      </c>
    </row>
    <row r="44" spans="1:15" x14ac:dyDescent="0.2">
      <c r="A44" s="24" t="s">
        <v>708</v>
      </c>
      <c r="B44" s="21" t="s">
        <v>293</v>
      </c>
      <c r="C44" s="22" t="s">
        <v>293</v>
      </c>
      <c r="D44" s="21" t="s">
        <v>669</v>
      </c>
      <c r="E44" s="21" t="str">
        <f>CONCATENATE(Master_Roster[[#This Row],[Last Name]],", ",MID(Master_Roster[[#This Row],[First Name]],1,2))</f>
        <v>Lee, Gr</v>
      </c>
      <c r="F44" s="21" t="s">
        <v>219</v>
      </c>
      <c r="G44" s="21" t="s">
        <v>76</v>
      </c>
      <c r="H44" s="21" t="s">
        <v>293</v>
      </c>
      <c r="I44" s="21" t="s">
        <v>293</v>
      </c>
      <c r="J44" s="23"/>
      <c r="K44" s="21" t="s">
        <v>813</v>
      </c>
      <c r="L44" s="21" t="str">
        <f>IFERROR(VLOOKUP(Master_Roster[[#This Row],[Offical ID]],'Online Roster'!L$3:M$112,2,FALSE),"")</f>
        <v>OL</v>
      </c>
      <c r="M44" s="21" t="str" cm="1">
        <f t="array" ref="M4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44" s="21" t="str">
        <f>Master_Roster[[#This Row],[Offical ID]]</f>
        <v>Lee_Graysen_25</v>
      </c>
      <c r="O44" s="23" t="s">
        <v>949</v>
      </c>
    </row>
    <row r="45" spans="1:15" x14ac:dyDescent="0.2">
      <c r="A45" s="24" t="s">
        <v>708</v>
      </c>
      <c r="B45" s="21" t="s">
        <v>57</v>
      </c>
      <c r="C45" s="22" t="s">
        <v>57</v>
      </c>
      <c r="D45" s="21" t="s">
        <v>675</v>
      </c>
      <c r="E45" s="21" t="str">
        <f>CONCATENATE(Master_Roster[[#This Row],[Last Name]],", ",MID(Master_Roster[[#This Row],[First Name]],1,2))</f>
        <v>May, Da</v>
      </c>
      <c r="F45" s="21" t="s">
        <v>185</v>
      </c>
      <c r="G45" s="21" t="s">
        <v>228</v>
      </c>
      <c r="H45" s="21" t="s">
        <v>57</v>
      </c>
      <c r="I45" s="21" t="s">
        <v>57</v>
      </c>
      <c r="J45" s="30" t="s">
        <v>57</v>
      </c>
      <c r="K45" s="21" t="s">
        <v>814</v>
      </c>
      <c r="L45" s="21" t="str">
        <f>IFERROR(VLOOKUP(Master_Roster[[#This Row],[Offical ID]],'Online Roster'!L$3:M$112,2,FALSE),"")</f>
        <v>OL</v>
      </c>
      <c r="M45" s="21" t="str" cm="1">
        <f t="array" ref="M4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45" s="21" t="str">
        <f>Master_Roster[[#This Row],[Offical ID]]</f>
        <v>May_Davis_25</v>
      </c>
      <c r="O45" s="23" t="s">
        <v>949</v>
      </c>
    </row>
    <row r="46" spans="1:15" x14ac:dyDescent="0.2">
      <c r="A46" s="24" t="s">
        <v>708</v>
      </c>
      <c r="B46" s="21" t="s">
        <v>52</v>
      </c>
      <c r="C46" s="22" t="s">
        <v>52</v>
      </c>
      <c r="D46" s="21" t="s">
        <v>683</v>
      </c>
      <c r="E46" s="21" t="str">
        <f>CONCATENATE(Master_Roster[[#This Row],[Last Name]],", ",MID(Master_Roster[[#This Row],[First Name]],1,2))</f>
        <v>McKay, Ri</v>
      </c>
      <c r="F46" s="21" t="s">
        <v>242</v>
      </c>
      <c r="G46" s="21" t="s">
        <v>243</v>
      </c>
      <c r="H46" s="21" t="s">
        <v>52</v>
      </c>
      <c r="I46" s="21" t="s">
        <v>52</v>
      </c>
      <c r="J46" s="30" t="s">
        <v>52</v>
      </c>
      <c r="K46" s="21" t="s">
        <v>815</v>
      </c>
      <c r="L46" s="21" t="str">
        <f>IFERROR(VLOOKUP(Master_Roster[[#This Row],[Offical ID]],'Online Roster'!L$3:M$112,2,FALSE),"")</f>
        <v>OL</v>
      </c>
      <c r="M46" s="21" t="str" cm="1">
        <f t="array" ref="M4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46" s="21" t="str">
        <f>Master_Roster[[#This Row],[Offical ID]]</f>
        <v>McKay_Richard_25</v>
      </c>
      <c r="O46" s="23" t="s">
        <v>949</v>
      </c>
    </row>
    <row r="47" spans="1:15" x14ac:dyDescent="0.2">
      <c r="A47" s="24" t="s">
        <v>708</v>
      </c>
      <c r="B47" s="21" t="s">
        <v>294</v>
      </c>
      <c r="C47" s="22" t="s">
        <v>294</v>
      </c>
      <c r="D47" s="21" t="s">
        <v>676</v>
      </c>
      <c r="E47" s="21" t="str">
        <f>CONCATENATE(Master_Roster[[#This Row],[Last Name]],", ",MID(Master_Roster[[#This Row],[First Name]],1,2))</f>
        <v>Moore, Ja</v>
      </c>
      <c r="F47" s="21" t="s">
        <v>229</v>
      </c>
      <c r="G47" s="21" t="s">
        <v>101</v>
      </c>
      <c r="H47" s="21" t="s">
        <v>294</v>
      </c>
      <c r="I47" s="21" t="s">
        <v>294</v>
      </c>
      <c r="J47" s="41" t="str">
        <f>Master_Roster[[#This Row],[Simple Name]]</f>
        <v>Jaxon Moore</v>
      </c>
      <c r="K47" s="21" t="s">
        <v>817</v>
      </c>
      <c r="L47" s="21" t="str">
        <f>IFERROR(VLOOKUP(Master_Roster[[#This Row],[Offical ID]],'Online Roster'!L$3:M$112,2,FALSE),"")</f>
        <v>OL</v>
      </c>
      <c r="M47" s="21" t="str" cm="1">
        <f t="array" ref="M4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47" s="21" t="str">
        <f>Master_Roster[[#This Row],[Offical ID]]</f>
        <v>Moore_Jaxon_25</v>
      </c>
      <c r="O47" s="23" t="s">
        <v>949</v>
      </c>
    </row>
    <row r="48" spans="1:15" x14ac:dyDescent="0.2">
      <c r="A48" s="24" t="s">
        <v>708</v>
      </c>
      <c r="B48" s="21" t="s">
        <v>51</v>
      </c>
      <c r="C48" s="22" t="s">
        <v>51</v>
      </c>
      <c r="D48" s="21" t="s">
        <v>663</v>
      </c>
      <c r="E48" s="21" t="str">
        <f>CONCATENATE(Master_Roster[[#This Row],[Last Name]],", ",MID(Master_Roster[[#This Row],[First Name]],1,2))</f>
        <v>Ortiz, El</v>
      </c>
      <c r="F48" s="21" t="s">
        <v>208</v>
      </c>
      <c r="G48" s="21" t="s">
        <v>209</v>
      </c>
      <c r="H48" s="21" t="s">
        <v>51</v>
      </c>
      <c r="I48" s="21" t="s">
        <v>51</v>
      </c>
      <c r="J48" s="9" t="s">
        <v>51</v>
      </c>
      <c r="K48" s="21" t="s">
        <v>818</v>
      </c>
      <c r="L48" s="21" t="str">
        <f>IFERROR(VLOOKUP(Master_Roster[[#This Row],[Offical ID]],'Online Roster'!L$3:M$112,2,FALSE),"")</f>
        <v>OL</v>
      </c>
      <c r="M48" s="21" t="str" cm="1">
        <f t="array" ref="M4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48" s="21" t="str">
        <f>Master_Roster[[#This Row],[Offical ID]]</f>
        <v>Ortiz_Elijah_25</v>
      </c>
      <c r="O48" s="23" t="s">
        <v>949</v>
      </c>
    </row>
    <row r="49" spans="1:15" x14ac:dyDescent="0.2">
      <c r="A49" s="24" t="s">
        <v>708</v>
      </c>
      <c r="B49" s="21" t="s">
        <v>295</v>
      </c>
      <c r="C49" s="22" t="s">
        <v>295</v>
      </c>
      <c r="D49" s="21" t="s">
        <v>681</v>
      </c>
      <c r="E49" s="21" t="str">
        <f>CONCATENATE(Master_Roster[[#This Row],[Last Name]],", ",MID(Master_Roster[[#This Row],[First Name]],1,2))</f>
        <v>Sheffield, De</v>
      </c>
      <c r="F49" s="21" t="s">
        <v>238</v>
      </c>
      <c r="G49" s="21" t="s">
        <v>239</v>
      </c>
      <c r="H49" s="21" t="s">
        <v>295</v>
      </c>
      <c r="I49" s="21" t="s">
        <v>295</v>
      </c>
      <c r="J49" s="30" t="s">
        <v>295</v>
      </c>
      <c r="K49" s="21" t="s">
        <v>820</v>
      </c>
      <c r="L49" s="21" t="str">
        <f>IFERROR(VLOOKUP(Master_Roster[[#This Row],[Offical ID]],'Online Roster'!L$3:M$112,2,FALSE),"")</f>
        <v>OL</v>
      </c>
      <c r="M49" s="21" t="str" cm="1">
        <f t="array" ref="M4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49" s="21" t="str">
        <f>Master_Roster[[#This Row],[Offical ID]]</f>
        <v>Sheffield_DeAnthony_25</v>
      </c>
      <c r="O49" s="23" t="s">
        <v>949</v>
      </c>
    </row>
    <row r="50" spans="1:15" x14ac:dyDescent="0.2">
      <c r="A50" s="24" t="s">
        <v>708</v>
      </c>
      <c r="B50" s="21" t="s">
        <v>291</v>
      </c>
      <c r="C50" s="22" t="s">
        <v>291</v>
      </c>
      <c r="D50" s="21" t="s">
        <v>661</v>
      </c>
      <c r="E50" s="21" t="str">
        <f>CONCATENATE(Master_Roster[[#This Row],[Last Name]],", ",MID(Master_Roster[[#This Row],[First Name]],1,2))</f>
        <v>Speno, Jo</v>
      </c>
      <c r="F50" s="21" t="s">
        <v>203</v>
      </c>
      <c r="G50" s="21" t="s">
        <v>204</v>
      </c>
      <c r="H50" s="21" t="s">
        <v>291</v>
      </c>
      <c r="I50" s="21" t="s">
        <v>291</v>
      </c>
      <c r="J50" s="9" t="s">
        <v>869</v>
      </c>
      <c r="K50" s="21" t="s">
        <v>824</v>
      </c>
      <c r="L50" s="21" t="str">
        <f>IFERROR(VLOOKUP(Master_Roster[[#This Row],[Offical ID]],'Online Roster'!L$3:M$112,2,FALSE),"")</f>
        <v>OL</v>
      </c>
      <c r="M50" s="21" t="str" cm="1">
        <f t="array" ref="M5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0" s="21" t="str">
        <f>Master_Roster[[#This Row],[Offical ID]]</f>
        <v>Speno_Joseph_25</v>
      </c>
      <c r="O50" s="23" t="s">
        <v>949</v>
      </c>
    </row>
    <row r="51" spans="1:15" x14ac:dyDescent="0.2">
      <c r="A51" s="24" t="s">
        <v>708</v>
      </c>
      <c r="B51" s="21" t="s">
        <v>296</v>
      </c>
      <c r="C51" s="22" t="s">
        <v>296</v>
      </c>
      <c r="D51" s="21" t="s">
        <v>682</v>
      </c>
      <c r="E51" s="21" t="str">
        <f>CONCATENATE(Master_Roster[[#This Row],[Last Name]],", ",MID(Master_Roster[[#This Row],[First Name]],1,2))</f>
        <v>Stallworth, Je</v>
      </c>
      <c r="F51" s="21" t="s">
        <v>240</v>
      </c>
      <c r="G51" s="21" t="s">
        <v>241</v>
      </c>
      <c r="H51" s="21" t="s">
        <v>296</v>
      </c>
      <c r="I51" s="21" t="s">
        <v>296</v>
      </c>
      <c r="J51" s="41" t="str">
        <f>Master_Roster[[#This Row],[Simple Name]]</f>
        <v>Jeremiah Stallworth</v>
      </c>
      <c r="K51" s="21" t="s">
        <v>825</v>
      </c>
      <c r="L51" s="21" t="str">
        <f>IFERROR(VLOOKUP(Master_Roster[[#This Row],[Offical ID]],'Online Roster'!L$3:M$112,2,FALSE),"")</f>
        <v>OL</v>
      </c>
      <c r="M51" s="21" t="str" cm="1">
        <f t="array" ref="M5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1" s="21" t="str">
        <f>Master_Roster[[#This Row],[Offical ID]]</f>
        <v>Stallworth_Jeremiah_25</v>
      </c>
      <c r="O51" s="23" t="s">
        <v>949</v>
      </c>
    </row>
    <row r="52" spans="1:15" x14ac:dyDescent="0.2">
      <c r="A52" s="24" t="s">
        <v>708</v>
      </c>
      <c r="B52" s="21" t="s">
        <v>63</v>
      </c>
      <c r="C52" s="22" t="s">
        <v>63</v>
      </c>
      <c r="D52" s="21" t="s">
        <v>672</v>
      </c>
      <c r="E52" s="21" t="str">
        <f>CONCATENATE(Master_Roster[[#This Row],[Last Name]],", ",MID(Master_Roster[[#This Row],[First Name]],1,2))</f>
        <v>Gretlein, Ca</v>
      </c>
      <c r="F52" s="21" t="s">
        <v>222</v>
      </c>
      <c r="G52" s="21" t="s">
        <v>223</v>
      </c>
      <c r="H52" s="21" t="s">
        <v>63</v>
      </c>
      <c r="I52" s="21" t="s">
        <v>63</v>
      </c>
      <c r="J52" s="9" t="s">
        <v>63</v>
      </c>
      <c r="K52" s="21" t="s">
        <v>809</v>
      </c>
      <c r="L52" s="21" t="str">
        <f>IFERROR(VLOOKUP(Master_Roster[[#This Row],[Offical ID]],'Online Roster'!L$3:M$112,2,FALSE),"")</f>
        <v>OL</v>
      </c>
      <c r="M52" s="21" t="str" cm="1">
        <f t="array" ref="M5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2" s="21" t="str">
        <f>Master_Roster[[#This Row],[Offical ID]]</f>
        <v>Gretlein_Cade_25</v>
      </c>
      <c r="O52" s="23" t="s">
        <v>949</v>
      </c>
    </row>
    <row r="53" spans="1:15" x14ac:dyDescent="0.2">
      <c r="A53" s="24" t="s">
        <v>708</v>
      </c>
      <c r="B53" s="21" t="s">
        <v>56</v>
      </c>
      <c r="C53" s="22" t="s">
        <v>56</v>
      </c>
      <c r="D53" s="21" t="s">
        <v>678</v>
      </c>
      <c r="E53" s="21" t="str">
        <f>CONCATENATE(Master_Roster[[#This Row],[Last Name]],", ",MID(Master_Roster[[#This Row],[First Name]],1,2))</f>
        <v>Hays, Sa</v>
      </c>
      <c r="F53" s="21" t="s">
        <v>232</v>
      </c>
      <c r="G53" s="21" t="s">
        <v>233</v>
      </c>
      <c r="H53" s="21" t="s">
        <v>56</v>
      </c>
      <c r="I53" s="23" t="s">
        <v>56</v>
      </c>
      <c r="J53" s="9" t="s">
        <v>56</v>
      </c>
      <c r="K53" s="21" t="s">
        <v>810</v>
      </c>
      <c r="L53" s="21" t="str">
        <f>IFERROR(VLOOKUP(Master_Roster[[#This Row],[Offical ID]],'Online Roster'!L$3:M$112,2,FALSE),"")</f>
        <v>OL</v>
      </c>
      <c r="M53" s="21" t="str" cm="1">
        <f t="array" ref="M5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3" s="21" t="str">
        <f>Master_Roster[[#This Row],[Offical ID]]</f>
        <v>Hays_Sawyer_25</v>
      </c>
      <c r="O53" s="23" t="s">
        <v>947</v>
      </c>
    </row>
    <row r="54" spans="1:15" x14ac:dyDescent="0.2">
      <c r="A54" s="24" t="s">
        <v>708</v>
      </c>
      <c r="B54" s="21" t="s">
        <v>297</v>
      </c>
      <c r="C54" s="22" t="s">
        <v>297</v>
      </c>
      <c r="D54" s="21" t="s">
        <v>684</v>
      </c>
      <c r="E54" s="21" t="str">
        <f>CONCATENATE(Master_Roster[[#This Row],[Last Name]],", ",MID(Master_Roster[[#This Row],[First Name]],1,2))</f>
        <v>Herman, Jo</v>
      </c>
      <c r="F54" s="21" t="s">
        <v>91</v>
      </c>
      <c r="G54" s="21" t="s">
        <v>244</v>
      </c>
      <c r="H54" s="21" t="s">
        <v>297</v>
      </c>
      <c r="I54" s="21" t="s">
        <v>297</v>
      </c>
      <c r="J54" s="23" t="s">
        <v>297</v>
      </c>
      <c r="K54" s="21" t="s">
        <v>811</v>
      </c>
      <c r="L54" s="21" t="str">
        <f>IFERROR(VLOOKUP(Master_Roster[[#This Row],[Offical ID]],'Online Roster'!L$3:M$112,2,FALSE),"")</f>
        <v>OL</v>
      </c>
      <c r="M54" s="21" t="str" cm="1">
        <f t="array" ref="M5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4" s="21" t="str">
        <f>Master_Roster[[#This Row],[Offical ID]]</f>
        <v>Herman_Jordan_25</v>
      </c>
      <c r="O54" s="23" t="s">
        <v>947</v>
      </c>
    </row>
    <row r="55" spans="1:15" x14ac:dyDescent="0.2">
      <c r="A55" s="24" t="s">
        <v>708</v>
      </c>
      <c r="B55" s="21" t="s">
        <v>49</v>
      </c>
      <c r="C55" s="22" t="s">
        <v>49</v>
      </c>
      <c r="D55" s="21" t="s">
        <v>671</v>
      </c>
      <c r="E55" s="21" t="str">
        <f>CONCATENATE(Master_Roster[[#This Row],[Last Name]],", ",MID(Master_Roster[[#This Row],[First Name]],1,2))</f>
        <v>Sousa, Br</v>
      </c>
      <c r="F55" s="21" t="s">
        <v>220</v>
      </c>
      <c r="G55" s="21" t="s">
        <v>221</v>
      </c>
      <c r="H55" s="21" t="s">
        <v>49</v>
      </c>
      <c r="I55" s="21" t="s">
        <v>49</v>
      </c>
      <c r="J55" s="30" t="s">
        <v>49</v>
      </c>
      <c r="K55" s="21" t="s">
        <v>823</v>
      </c>
      <c r="L55" s="21" t="str">
        <f>IFERROR(VLOOKUP(Master_Roster[[#This Row],[Offical ID]],'Online Roster'!L$3:M$112,2,FALSE),"")</f>
        <v>OL</v>
      </c>
      <c r="M55" s="21" t="str" cm="1">
        <f t="array" ref="M5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5" s="21" t="str">
        <f>Master_Roster[[#This Row],[Offical ID]]</f>
        <v>Sousa_Brandon_25</v>
      </c>
      <c r="O55" s="23" t="s">
        <v>947</v>
      </c>
    </row>
    <row r="56" spans="1:15" x14ac:dyDescent="0.2">
      <c r="A56" s="24" t="s">
        <v>708</v>
      </c>
      <c r="B56" s="21" t="s">
        <v>54</v>
      </c>
      <c r="C56" s="22" t="s">
        <v>54</v>
      </c>
      <c r="D56" s="21" t="s">
        <v>677</v>
      </c>
      <c r="E56" s="21" t="str">
        <f>CONCATENATE(Master_Roster[[#This Row],[Last Name]],", ",MID(Master_Roster[[#This Row],[First Name]],1,2))</f>
        <v>Summers, Br</v>
      </c>
      <c r="F56" s="21" t="s">
        <v>230</v>
      </c>
      <c r="G56" s="21" t="s">
        <v>231</v>
      </c>
      <c r="H56" s="21" t="s">
        <v>54</v>
      </c>
      <c r="I56" s="21" t="s">
        <v>54</v>
      </c>
      <c r="J56" s="9" t="s">
        <v>54</v>
      </c>
      <c r="K56" s="21" t="s">
        <v>826</v>
      </c>
      <c r="L56" s="21" t="str">
        <f>IFERROR(VLOOKUP(Master_Roster[[#This Row],[Offical ID]],'Online Roster'!L$3:M$112,2,FALSE),"")</f>
        <v>OL</v>
      </c>
      <c r="M56" s="21" t="str" cm="1">
        <f t="array" ref="M5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6" s="21" t="str">
        <f>Master_Roster[[#This Row],[Offical ID]]</f>
        <v>Summers_Bryson_25</v>
      </c>
      <c r="O56" s="23" t="s">
        <v>949</v>
      </c>
    </row>
    <row r="57" spans="1:15" x14ac:dyDescent="0.2">
      <c r="A57" s="24" t="s">
        <v>708</v>
      </c>
      <c r="B57" s="21" t="s">
        <v>66</v>
      </c>
      <c r="C57" s="22" t="s">
        <v>66</v>
      </c>
      <c r="D57" s="21" t="s">
        <v>662</v>
      </c>
      <c r="E57" s="21" t="str">
        <f>CONCATENATE(Master_Roster[[#This Row],[Last Name]],", ",MID(Master_Roster[[#This Row],[First Name]],1,2))</f>
        <v>Abdullah, De</v>
      </c>
      <c r="F57" s="21" t="s">
        <v>206</v>
      </c>
      <c r="G57" s="21" t="s">
        <v>207</v>
      </c>
      <c r="H57" s="21" t="s">
        <v>66</v>
      </c>
      <c r="I57" s="21" t="s">
        <v>66</v>
      </c>
      <c r="J57" s="9" t="s">
        <v>66</v>
      </c>
      <c r="K57" s="21" t="s">
        <v>808</v>
      </c>
      <c r="L57" s="21" t="str">
        <f>IFERROR(VLOOKUP(Master_Roster[[#This Row],[Offical ID]],'Online Roster'!L$3:M$112,2,FALSE),"")</f>
        <v>OL</v>
      </c>
      <c r="M57" s="21" t="str" cm="1">
        <f t="array" ref="M5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7" s="21" t="str">
        <f>Master_Roster[[#This Row],[Offical ID]]</f>
        <v>Abdullah_Dean_25</v>
      </c>
      <c r="O57" s="23" t="s">
        <v>948</v>
      </c>
    </row>
    <row r="58" spans="1:15" x14ac:dyDescent="0.2">
      <c r="A58" s="24" t="s">
        <v>708</v>
      </c>
      <c r="B58" s="21" t="s">
        <v>55</v>
      </c>
      <c r="C58" s="22" t="s">
        <v>55</v>
      </c>
      <c r="D58" s="21" t="s">
        <v>680</v>
      </c>
      <c r="E58" s="21" t="str">
        <f>CONCATENATE(Master_Roster[[#This Row],[Last Name]],", ",MID(Master_Roster[[#This Row],[First Name]],1,2))</f>
        <v>Meek, Ai</v>
      </c>
      <c r="F58" s="21" t="s">
        <v>236</v>
      </c>
      <c r="G58" s="21" t="s">
        <v>237</v>
      </c>
      <c r="H58" s="21" t="s">
        <v>55</v>
      </c>
      <c r="I58" s="21" t="s">
        <v>55</v>
      </c>
      <c r="J58" s="9" t="s">
        <v>55</v>
      </c>
      <c r="K58" s="21" t="s">
        <v>816</v>
      </c>
      <c r="L58" s="21" t="str">
        <f>IFERROR(VLOOKUP(Master_Roster[[#This Row],[Offical ID]],'Online Roster'!L$3:M$112,2,FALSE),"")</f>
        <v>OL</v>
      </c>
      <c r="M58" s="21" t="str" cm="1">
        <f t="array" ref="M5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8" s="21" t="str">
        <f>Master_Roster[[#This Row],[Offical ID]]</f>
        <v>Meek_Aidan_25</v>
      </c>
      <c r="O58" s="23" t="s">
        <v>948</v>
      </c>
    </row>
    <row r="59" spans="1:15" x14ac:dyDescent="0.2">
      <c r="A59" s="24" t="s">
        <v>708</v>
      </c>
      <c r="B59" s="21" t="s">
        <v>53</v>
      </c>
      <c r="C59" s="22" t="s">
        <v>53</v>
      </c>
      <c r="D59" s="21" t="s">
        <v>668</v>
      </c>
      <c r="E59" s="21" t="str">
        <f>CONCATENATE(Master_Roster[[#This Row],[Last Name]],", ",MID(Master_Roster[[#This Row],[First Name]],1,2))</f>
        <v>Riley, Ke</v>
      </c>
      <c r="F59" s="21" t="s">
        <v>217</v>
      </c>
      <c r="G59" s="21" t="s">
        <v>218</v>
      </c>
      <c r="H59" s="21" t="s">
        <v>53</v>
      </c>
      <c r="I59" s="21" t="s">
        <v>53</v>
      </c>
      <c r="J59" s="9" t="s">
        <v>53</v>
      </c>
      <c r="K59" s="21" t="s">
        <v>819</v>
      </c>
      <c r="L59" s="21" t="str">
        <f>IFERROR(VLOOKUP(Master_Roster[[#This Row],[Offical ID]],'Online Roster'!L$3:M$112,2,FALSE),"")</f>
        <v>OL</v>
      </c>
      <c r="M59" s="21" t="str" cm="1">
        <f t="array" ref="M5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59" s="21" t="str">
        <f>Master_Roster[[#This Row],[Offical ID]]</f>
        <v>Riley_Kenndel_25</v>
      </c>
      <c r="O59" s="23" t="s">
        <v>948</v>
      </c>
    </row>
    <row r="60" spans="1:15" x14ac:dyDescent="0.2">
      <c r="A60" s="24" t="s">
        <v>708</v>
      </c>
      <c r="B60" s="21" t="s">
        <v>64</v>
      </c>
      <c r="C60" s="22" t="s">
        <v>64</v>
      </c>
      <c r="D60" s="21" t="s">
        <v>679</v>
      </c>
      <c r="E60" s="21" t="str">
        <f>CONCATENATE(Master_Roster[[#This Row],[Last Name]],", ",MID(Master_Roster[[#This Row],[First Name]],1,2))</f>
        <v>Soto, Jo</v>
      </c>
      <c r="F60" s="21" t="s">
        <v>234</v>
      </c>
      <c r="G60" s="21" t="s">
        <v>235</v>
      </c>
      <c r="H60" s="21" t="s">
        <v>64</v>
      </c>
      <c r="I60" s="21" t="s">
        <v>64</v>
      </c>
      <c r="J60" s="9" t="s">
        <v>64</v>
      </c>
      <c r="K60" s="21" t="s">
        <v>822</v>
      </c>
      <c r="L60" s="21" t="str">
        <f>IFERROR(VLOOKUP(Master_Roster[[#This Row],[Offical ID]],'Online Roster'!L$3:M$112,2,FALSE),"")</f>
        <v>OL</v>
      </c>
      <c r="M60" s="21" t="str" cm="1">
        <f t="array" ref="M6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Bigs</v>
      </c>
      <c r="N60" s="21" t="str">
        <f>Master_Roster[[#This Row],[Offical ID]]</f>
        <v>Soto_Jose_25</v>
      </c>
      <c r="O60" s="23" t="s">
        <v>948</v>
      </c>
    </row>
    <row r="61" spans="1:15" x14ac:dyDescent="0.2">
      <c r="A61" s="24" t="s">
        <v>708</v>
      </c>
      <c r="B61" s="21" t="s">
        <v>289</v>
      </c>
      <c r="C61" s="22" t="s">
        <v>289</v>
      </c>
      <c r="D61" s="21" t="s">
        <v>649</v>
      </c>
      <c r="E61" s="21" t="str">
        <f>CONCATENATE(Master_Roster[[#This Row],[Last Name]],", ",MID(Master_Roster[[#This Row],[First Name]],1,2))</f>
        <v>Gooden, Dy</v>
      </c>
      <c r="F61" s="21" t="s">
        <v>180</v>
      </c>
      <c r="G61" s="21" t="s">
        <v>181</v>
      </c>
      <c r="H61" s="21" t="s">
        <v>289</v>
      </c>
      <c r="I61" s="21" t="s">
        <v>289</v>
      </c>
      <c r="J61" s="23" t="s">
        <v>289</v>
      </c>
      <c r="K61" s="21" t="s">
        <v>795</v>
      </c>
      <c r="L61" s="21" t="str">
        <f>IFERROR(VLOOKUP(Master_Roster[[#This Row],[Offical ID]],'Online Roster'!L$3:M$112,2,FALSE),"")</f>
        <v>OLB</v>
      </c>
      <c r="M61" s="21" t="str" cm="1">
        <f t="array" ref="M6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1" s="21" t="str">
        <f>Master_Roster[[#This Row],[Offical ID]]</f>
        <v>Gooden_Dylan_25</v>
      </c>
      <c r="O61" s="23" t="s">
        <v>949</v>
      </c>
    </row>
    <row r="62" spans="1:15" x14ac:dyDescent="0.2">
      <c r="A62" s="24" t="s">
        <v>708</v>
      </c>
      <c r="B62" s="21" t="s">
        <v>305</v>
      </c>
      <c r="C62" s="22" t="s">
        <v>305</v>
      </c>
      <c r="D62" s="21" t="s">
        <v>698</v>
      </c>
      <c r="E62" s="21" t="str">
        <f>CONCATENATE(Master_Roster[[#This Row],[Last Name]],", ",MID(Master_Roster[[#This Row],[First Name]],1,2))</f>
        <v>Mosley, Mi</v>
      </c>
      <c r="F62" s="21" t="s">
        <v>265</v>
      </c>
      <c r="G62" s="21" t="s">
        <v>266</v>
      </c>
      <c r="H62" s="21" t="s">
        <v>305</v>
      </c>
      <c r="I62" s="21" t="s">
        <v>305</v>
      </c>
      <c r="J62" s="43" t="str">
        <f>Master_Roster[[#This Row],[Simple Name]]</f>
        <v>Micah Mosley</v>
      </c>
      <c r="K62" s="21" t="s">
        <v>799</v>
      </c>
      <c r="L62" s="21" t="str">
        <f>IFERROR(VLOOKUP(Master_Roster[[#This Row],[Offical ID]],'Online Roster'!L$3:M$112,2,FALSE),"")</f>
        <v>OLB</v>
      </c>
      <c r="M62" s="21" t="str" cm="1">
        <f t="array" ref="M6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2" s="21" t="str">
        <f>Master_Roster[[#This Row],[Offical ID]]</f>
        <v>Mosley_Micah_25</v>
      </c>
      <c r="O62" s="23" t="s">
        <v>949</v>
      </c>
    </row>
    <row r="63" spans="1:15" x14ac:dyDescent="0.2">
      <c r="A63" s="24" t="s">
        <v>708</v>
      </c>
      <c r="B63" s="21" t="s">
        <v>2</v>
      </c>
      <c r="C63" s="22" t="s">
        <v>2</v>
      </c>
      <c r="D63" s="21" t="s">
        <v>631</v>
      </c>
      <c r="E63" s="21" t="str">
        <f>CONCATENATE(Master_Roster[[#This Row],[Last Name]],", ",MID(Master_Roster[[#This Row],[First Name]],1,2))</f>
        <v>Puloka, Fa</v>
      </c>
      <c r="F63" s="21" t="s">
        <v>144</v>
      </c>
      <c r="G63" s="21" t="s">
        <v>145</v>
      </c>
      <c r="H63" s="21" t="s">
        <v>2</v>
      </c>
      <c r="I63" s="21" t="s">
        <v>2</v>
      </c>
      <c r="J63" s="30" t="s">
        <v>2</v>
      </c>
      <c r="K63" s="21" t="s">
        <v>800</v>
      </c>
      <c r="L63" s="21" t="str">
        <f>IFERROR(VLOOKUP(Master_Roster[[#This Row],[Offical ID]],'Online Roster'!L$3:M$112,2,FALSE),"")</f>
        <v>OLB</v>
      </c>
      <c r="M63" s="21" t="str" cm="1">
        <f t="array" ref="M6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3" s="21" t="str">
        <f>Master_Roster[[#This Row],[Offical ID]]</f>
        <v>Puloka_Fata_25</v>
      </c>
      <c r="O63" s="23" t="s">
        <v>949</v>
      </c>
    </row>
    <row r="64" spans="1:15" hidden="1" x14ac:dyDescent="0.2">
      <c r="A64" s="24" t="s">
        <v>713</v>
      </c>
      <c r="B64" s="21" t="s">
        <v>38</v>
      </c>
      <c r="C64" s="22" t="s">
        <v>38</v>
      </c>
      <c r="D64" s="21" t="s">
        <v>623</v>
      </c>
      <c r="E64" s="21" t="str">
        <f>CONCATENATE(Master_Roster[[#This Row],[Last Name]],", ",MID(Master_Roster[[#This Row],[First Name]],1,2))</f>
        <v>Scott, Br</v>
      </c>
      <c r="F64" s="21" t="s">
        <v>129</v>
      </c>
      <c r="G64" s="21" t="s">
        <v>130</v>
      </c>
      <c r="H64" s="21" t="s">
        <v>38</v>
      </c>
      <c r="I64" s="21" t="s">
        <v>38</v>
      </c>
      <c r="J64" s="30" t="s">
        <v>38</v>
      </c>
      <c r="K64" s="21" t="s">
        <v>802</v>
      </c>
      <c r="L64" s="21" t="s">
        <v>338</v>
      </c>
      <c r="M64" s="21" t="s">
        <v>878</v>
      </c>
      <c r="N64" s="21" t="str">
        <f>Master_Roster[[#This Row],[Offical ID]]</f>
        <v>Scott_Brennon_25</v>
      </c>
      <c r="O64" s="23" t="s">
        <v>949</v>
      </c>
    </row>
    <row r="65" spans="1:15" x14ac:dyDescent="0.2">
      <c r="A65" s="24" t="s">
        <v>708</v>
      </c>
      <c r="B65" s="21" t="s">
        <v>28</v>
      </c>
      <c r="C65" s="22" t="s">
        <v>28</v>
      </c>
      <c r="D65" s="21" t="s">
        <v>646</v>
      </c>
      <c r="E65" s="21" t="str">
        <f>CONCATENATE(Master_Roster[[#This Row],[Last Name]],", ",MID(Master_Roster[[#This Row],[First Name]],1,2))</f>
        <v>Vi, Pi</v>
      </c>
      <c r="F65" s="21" t="s">
        <v>172</v>
      </c>
      <c r="G65" s="21" t="s">
        <v>173</v>
      </c>
      <c r="H65" s="21" t="s">
        <v>28</v>
      </c>
      <c r="I65" s="21" t="s">
        <v>28</v>
      </c>
      <c r="J65" s="9" t="s">
        <v>28</v>
      </c>
      <c r="K65" s="21" t="s">
        <v>804</v>
      </c>
      <c r="L65" s="21" t="s">
        <v>139</v>
      </c>
      <c r="M65" s="21" t="str" cm="1">
        <f t="array" ref="M6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5" s="21" t="str">
        <f>Master_Roster[[#This Row],[Offical ID]]</f>
        <v>Vi_Pita_25</v>
      </c>
      <c r="O65" s="23" t="s">
        <v>947</v>
      </c>
    </row>
    <row r="66" spans="1:15" x14ac:dyDescent="0.2">
      <c r="A66" s="24" t="s">
        <v>713</v>
      </c>
      <c r="B66" s="21" t="s">
        <v>67</v>
      </c>
      <c r="C66" s="22" t="s">
        <v>67</v>
      </c>
      <c r="D66" s="21" t="s">
        <v>610</v>
      </c>
      <c r="E66" s="21" t="str">
        <f>CONCATENATE(Master_Roster[[#This Row],[Last Name]],", ",MID(Master_Roster[[#This Row],[First Name]],1,2))</f>
        <v>Ross, Kr</v>
      </c>
      <c r="F66" s="21" t="s">
        <v>109</v>
      </c>
      <c r="G66" s="21" t="s">
        <v>110</v>
      </c>
      <c r="H66" s="21" t="s">
        <v>872</v>
      </c>
      <c r="I66" s="21" t="s">
        <v>67</v>
      </c>
      <c r="J66" s="30" t="s">
        <v>867</v>
      </c>
      <c r="K66" s="21" t="s">
        <v>785</v>
      </c>
      <c r="L66" s="21" t="s">
        <v>338</v>
      </c>
      <c r="M66" s="21" t="str" cm="1">
        <f t="array" ref="M6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6" s="21" t="str">
        <f>Master_Roster[[#This Row],[Offical ID]]</f>
        <v>Ross_Kris_25</v>
      </c>
      <c r="O66" s="23"/>
    </row>
    <row r="67" spans="1:15" x14ac:dyDescent="0.2">
      <c r="A67" s="24" t="s">
        <v>708</v>
      </c>
      <c r="B67" s="21" t="s">
        <v>29</v>
      </c>
      <c r="C67" s="22" t="s">
        <v>29</v>
      </c>
      <c r="D67" s="21" t="s">
        <v>598</v>
      </c>
      <c r="E67" s="21" t="str">
        <f>CONCATENATE(Master_Roster[[#This Row],[Last Name]],", ",MID(Master_Roster[[#This Row],[First Name]],1,2))</f>
        <v>Wright, De</v>
      </c>
      <c r="F67" s="21" t="s">
        <v>86</v>
      </c>
      <c r="G67" s="21" t="s">
        <v>87</v>
      </c>
      <c r="H67" s="21" t="s">
        <v>29</v>
      </c>
      <c r="I67" s="21" t="s">
        <v>29</v>
      </c>
      <c r="J67" s="9" t="s">
        <v>29</v>
      </c>
      <c r="K67" s="21" t="s">
        <v>805</v>
      </c>
      <c r="L67" s="21" t="str">
        <f>IFERROR(VLOOKUP(Master_Roster[[#This Row],[Offical ID]],'Online Roster'!L$3:M$112,2,FALSE),"")</f>
        <v>OLB</v>
      </c>
      <c r="M67" s="21" t="str" cm="1">
        <f t="array" ref="M6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7" s="21" t="str">
        <f>Master_Roster[[#This Row],[Offical ID]]</f>
        <v>Wright_Deven_25</v>
      </c>
      <c r="O67" s="23" t="s">
        <v>947</v>
      </c>
    </row>
    <row r="68" spans="1:15" x14ac:dyDescent="0.2">
      <c r="A68" s="24" t="s">
        <v>708</v>
      </c>
      <c r="B68" s="21" t="s">
        <v>292</v>
      </c>
      <c r="C68" s="22" t="s">
        <v>292</v>
      </c>
      <c r="D68" s="21" t="s">
        <v>665</v>
      </c>
      <c r="E68" s="21" t="str">
        <f>CONCATENATE(Master_Roster[[#This Row],[Last Name]],", ",MID(Master_Roster[[#This Row],[First Name]],1,2))</f>
        <v>Hampsten, Dy</v>
      </c>
      <c r="F68" s="21" t="s">
        <v>180</v>
      </c>
      <c r="G68" s="21" t="s">
        <v>212</v>
      </c>
      <c r="H68" s="21" t="s">
        <v>292</v>
      </c>
      <c r="I68" s="21" t="s">
        <v>292</v>
      </c>
      <c r="J68" s="9" t="s">
        <v>292</v>
      </c>
      <c r="K68" s="21" t="s">
        <v>780</v>
      </c>
      <c r="L68" s="21" t="s">
        <v>338</v>
      </c>
      <c r="M68" s="21" t="str" cm="1">
        <f t="array" ref="M6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8" s="21" t="str">
        <f>Master_Roster[[#This Row],[Offical ID]]</f>
        <v>Hampsten_Dylan_25</v>
      </c>
      <c r="O68" s="23" t="s">
        <v>948</v>
      </c>
    </row>
    <row r="69" spans="1:15" x14ac:dyDescent="0.2">
      <c r="A69" s="24" t="s">
        <v>708</v>
      </c>
      <c r="B69" s="21" t="s">
        <v>45</v>
      </c>
      <c r="C69" s="22" t="s">
        <v>45</v>
      </c>
      <c r="D69" s="21" t="s">
        <v>632</v>
      </c>
      <c r="E69" s="21" t="str">
        <f>CONCATENATE(Master_Roster[[#This Row],[Last Name]],", ",MID(Master_Roster[[#This Row],[First Name]],1,2))</f>
        <v>Cashiola, Jo</v>
      </c>
      <c r="F69" s="21" t="s">
        <v>148</v>
      </c>
      <c r="G69" s="21" t="s">
        <v>149</v>
      </c>
      <c r="H69" s="21" t="s">
        <v>45</v>
      </c>
      <c r="I69" s="21" t="s">
        <v>45</v>
      </c>
      <c r="J69" s="41" t="str">
        <f>Master_Roster[[#This Row],[Simple Name]]</f>
        <v>Josh Cashiola</v>
      </c>
      <c r="K69" s="21" t="s">
        <v>792</v>
      </c>
      <c r="L69" s="21" t="str">
        <f>IFERROR(VLOOKUP(Master_Roster[[#This Row],[Offical ID]],'Online Roster'!L$3:M$112,2,FALSE),"")</f>
        <v>OLB</v>
      </c>
      <c r="M69" s="21" t="str" cm="1">
        <f t="array" ref="M6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69" s="21" t="str">
        <f>Master_Roster[[#This Row],[Offical ID]]</f>
        <v>Cashiola_Josh_25</v>
      </c>
      <c r="O69" s="23" t="s">
        <v>947</v>
      </c>
    </row>
    <row r="70" spans="1:15" x14ac:dyDescent="0.2">
      <c r="A70" s="24" t="s">
        <v>708</v>
      </c>
      <c r="B70" s="21" t="s">
        <v>40</v>
      </c>
      <c r="C70" s="22" t="s">
        <v>40</v>
      </c>
      <c r="D70" s="21" t="s">
        <v>695</v>
      </c>
      <c r="E70" s="21" t="str">
        <f>CONCATENATE(Master_Roster[[#This Row],[Last Name]],", ",MID(Master_Roster[[#This Row],[First Name]],1,2))</f>
        <v>McGough, Ca</v>
      </c>
      <c r="F70" s="21" t="s">
        <v>260</v>
      </c>
      <c r="G70" s="21" t="s">
        <v>261</v>
      </c>
      <c r="H70" s="21" t="s">
        <v>40</v>
      </c>
      <c r="I70" s="21" t="s">
        <v>40</v>
      </c>
      <c r="J70" s="9" t="s">
        <v>40</v>
      </c>
      <c r="K70" s="21" t="s">
        <v>841</v>
      </c>
      <c r="L70" s="21" t="str">
        <f>IFERROR(VLOOKUP(Master_Roster[[#This Row],[Offical ID]],'Online Roster'!L$3:M$112,2,FALSE),"")</f>
        <v>P</v>
      </c>
      <c r="M70" s="21" t="str" cm="1">
        <f t="array" ref="M7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Spec</v>
      </c>
      <c r="N70" s="21" t="str">
        <f>Master_Roster[[#This Row],[Offical ID]]</f>
        <v>McGough_Cal_25</v>
      </c>
      <c r="O70" s="23" t="s">
        <v>949</v>
      </c>
    </row>
    <row r="71" spans="1:15" x14ac:dyDescent="0.2">
      <c r="A71" s="24" t="s">
        <v>708</v>
      </c>
      <c r="B71" s="21" t="s">
        <v>42</v>
      </c>
      <c r="C71" s="22" t="s">
        <v>42</v>
      </c>
      <c r="D71" s="21" t="s">
        <v>670</v>
      </c>
      <c r="E71" s="21" t="str">
        <f>CONCATENATE(Master_Roster[[#This Row],[Last Name]],", ",MID(Master_Roster[[#This Row],[First Name]],1,2))</f>
        <v>Melanson, Mi</v>
      </c>
      <c r="F71" s="21" t="s">
        <v>166</v>
      </c>
      <c r="G71" s="21" t="s">
        <v>588</v>
      </c>
      <c r="H71" s="21" t="s">
        <v>42</v>
      </c>
      <c r="I71" s="21" t="s">
        <v>277</v>
      </c>
      <c r="J71" s="9" t="s">
        <v>866</v>
      </c>
      <c r="K71" s="21" t="s">
        <v>843</v>
      </c>
      <c r="L71" s="21" t="str">
        <f>IFERROR(VLOOKUP(Master_Roster[[#This Row],[Offical ID]],'Online Roster'!L$3:M$112,2,FALSE),"")</f>
        <v>P</v>
      </c>
      <c r="M71" s="21" t="str" cm="1">
        <f t="array" ref="M7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Spec</v>
      </c>
      <c r="N71" s="21" t="str">
        <f>Master_Roster[[#This Row],[Offical ID]]</f>
        <v>Melanson_Mike_25</v>
      </c>
      <c r="O71" s="23" t="s">
        <v>949</v>
      </c>
    </row>
    <row r="72" spans="1:15" x14ac:dyDescent="0.2">
      <c r="A72" s="24" t="s">
        <v>708</v>
      </c>
      <c r="B72" s="21" t="s">
        <v>34</v>
      </c>
      <c r="C72" s="22" t="s">
        <v>34</v>
      </c>
      <c r="D72" s="21" t="s">
        <v>605</v>
      </c>
      <c r="E72" s="21" t="str">
        <f>CONCATENATE(Master_Roster[[#This Row],[Last Name]],", ",MID(Master_Roster[[#This Row],[First Name]],1,2))</f>
        <v>Malone, Ja</v>
      </c>
      <c r="F72" s="21" t="s">
        <v>82</v>
      </c>
      <c r="G72" s="21" t="s">
        <v>103</v>
      </c>
      <c r="H72" s="21" t="s">
        <v>34</v>
      </c>
      <c r="I72" s="21" t="s">
        <v>34</v>
      </c>
      <c r="J72" s="43" t="str">
        <f>Master_Roster[[#This Row],[Simple Name]]</f>
        <v>Jamar Malone</v>
      </c>
      <c r="K72" s="21" t="s">
        <v>827</v>
      </c>
      <c r="L72" s="21" t="str">
        <f>IFERROR(VLOOKUP(Master_Roster[[#This Row],[Offical ID]],'Online Roster'!L$3:M$112,2,FALSE),"")</f>
        <v>QB</v>
      </c>
      <c r="M72" s="21" t="str" cm="1">
        <f t="array" ref="M7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2" s="21" t="str">
        <f>Master_Roster[[#This Row],[Offical ID]]</f>
        <v>Malone_Jamar_25</v>
      </c>
      <c r="O72" s="23" t="s">
        <v>949</v>
      </c>
    </row>
    <row r="73" spans="1:15" x14ac:dyDescent="0.2">
      <c r="A73" s="24" t="s">
        <v>708</v>
      </c>
      <c r="B73" s="21" t="s">
        <v>30</v>
      </c>
      <c r="C73" s="22" t="s">
        <v>30</v>
      </c>
      <c r="D73" s="21" t="s">
        <v>607</v>
      </c>
      <c r="E73" s="21" t="str">
        <f>CONCATENATE(Master_Roster[[#This Row],[Last Name]],", ",MID(Master_Roster[[#This Row],[First Name]],1,2))</f>
        <v>Williams, Ca</v>
      </c>
      <c r="F73" s="21" t="s">
        <v>104</v>
      </c>
      <c r="G73" s="21" t="s">
        <v>105</v>
      </c>
      <c r="H73" s="21" t="s">
        <v>30</v>
      </c>
      <c r="I73" s="21" t="s">
        <v>30</v>
      </c>
      <c r="J73" s="9" t="s">
        <v>30</v>
      </c>
      <c r="K73" s="21" t="s">
        <v>829</v>
      </c>
      <c r="L73" s="21" t="str">
        <f>IFERROR(VLOOKUP(Master_Roster[[#This Row],[Offical ID]],'Online Roster'!L$3:M$112,2,FALSE),"")</f>
        <v>QB</v>
      </c>
      <c r="M73" s="21" t="str" cm="1">
        <f t="array" ref="M7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3" s="21" t="str">
        <f>Master_Roster[[#This Row],[Offical ID]]</f>
        <v>Williams_Cardell_25</v>
      </c>
      <c r="O73" s="23" t="s">
        <v>948</v>
      </c>
    </row>
    <row r="74" spans="1:15" x14ac:dyDescent="0.2">
      <c r="A74" s="24" t="s">
        <v>708</v>
      </c>
      <c r="B74" s="21" t="s">
        <v>896</v>
      </c>
      <c r="C74" s="21" t="s">
        <v>896</v>
      </c>
      <c r="D74" s="21" t="s">
        <v>897</v>
      </c>
      <c r="E74" s="21" t="s">
        <v>898</v>
      </c>
      <c r="F74" s="21" t="s">
        <v>226</v>
      </c>
      <c r="G74" s="21" t="s">
        <v>899</v>
      </c>
      <c r="H74" s="21" t="s">
        <v>896</v>
      </c>
      <c r="I74" s="21" t="s">
        <v>896</v>
      </c>
      <c r="J74" s="23" t="s">
        <v>896</v>
      </c>
      <c r="K74" s="21" t="str">
        <f>CONCATENATE(Master_Roster[[#This Row],[Last Name]],", ",Master_Roster[[#This Row],[First Name]])</f>
        <v>Sprague, Luke</v>
      </c>
      <c r="L74" s="21" t="s">
        <v>99</v>
      </c>
      <c r="M74" s="21" t="str" cm="1">
        <f t="array" ref="M7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4" s="21" t="str">
        <f>Master_Roster[[#This Row],[Offical ID]]</f>
        <v>Sprague_Luke_25</v>
      </c>
      <c r="O74" s="23" t="s">
        <v>949</v>
      </c>
    </row>
    <row r="75" spans="1:15" x14ac:dyDescent="0.2">
      <c r="A75" s="24" t="s">
        <v>708</v>
      </c>
      <c r="B75" s="21" t="s">
        <v>364</v>
      </c>
      <c r="C75" s="22" t="s">
        <v>364</v>
      </c>
      <c r="D75" s="21" t="s">
        <v>604</v>
      </c>
      <c r="E75" s="21" t="str">
        <f>CONCATENATE(Master_Roster[[#This Row],[Last Name]],", ",MID(Master_Roster[[#This Row],[First Name]],1,2))</f>
        <v>Rashada, Ja</v>
      </c>
      <c r="F75" s="21" t="s">
        <v>700</v>
      </c>
      <c r="G75" s="21" t="s">
        <v>98</v>
      </c>
      <c r="H75" s="21" t="s">
        <v>364</v>
      </c>
      <c r="I75" s="21" t="s">
        <v>364</v>
      </c>
      <c r="J75" s="9" t="s">
        <v>364</v>
      </c>
      <c r="K75" s="21" t="s">
        <v>828</v>
      </c>
      <c r="L75" s="21" t="str">
        <f>IFERROR(VLOOKUP(Master_Roster[[#This Row],[Offical ID]],'Online Roster'!L$3:M$112,2,FALSE),"")</f>
        <v>QB</v>
      </c>
      <c r="M75" s="21" t="str" cm="1">
        <f t="array" ref="M7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5" s="21" t="str">
        <f>Master_Roster[[#This Row],[Offical ID]]</f>
        <v>Rashada_Jaden_25</v>
      </c>
      <c r="O75" s="23" t="s">
        <v>949</v>
      </c>
    </row>
    <row r="76" spans="1:15" x14ac:dyDescent="0.2">
      <c r="A76" s="24" t="s">
        <v>708</v>
      </c>
      <c r="B76" s="21" t="s">
        <v>71</v>
      </c>
      <c r="C76" s="22" t="s">
        <v>71</v>
      </c>
      <c r="D76" s="21" t="s">
        <v>621</v>
      </c>
      <c r="E76" s="21" t="str">
        <f>CONCATENATE(Master_Roster[[#This Row],[Last Name]],", ",MID(Master_Roster[[#This Row],[First Name]],1,2))</f>
        <v>Borders, Cu</v>
      </c>
      <c r="F76" s="21" t="s">
        <v>131</v>
      </c>
      <c r="G76" s="21" t="s">
        <v>132</v>
      </c>
      <c r="H76" s="21" t="s">
        <v>71</v>
      </c>
      <c r="I76" s="21" t="s">
        <v>71</v>
      </c>
      <c r="J76" s="30" t="s">
        <v>71</v>
      </c>
      <c r="K76" s="21" t="s">
        <v>831</v>
      </c>
      <c r="L76" s="21" t="str">
        <f>IFERROR(VLOOKUP(Master_Roster[[#This Row],[Offical ID]],'Online Roster'!L$3:M$112,2,FALSE),"")</f>
        <v>RB</v>
      </c>
      <c r="M76" s="21" t="str" cm="1">
        <f t="array" ref="M7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6" s="21" t="str">
        <f>Master_Roster[[#This Row],[Offical ID]]</f>
        <v>Borders_Curron_25</v>
      </c>
      <c r="O76" s="23" t="s">
        <v>949</v>
      </c>
    </row>
    <row r="77" spans="1:15" x14ac:dyDescent="0.2">
      <c r="A77" s="24" t="s">
        <v>708</v>
      </c>
      <c r="B77" s="21" t="s">
        <v>283</v>
      </c>
      <c r="C77" s="22" t="s">
        <v>283</v>
      </c>
      <c r="D77" s="21" t="s">
        <v>639</v>
      </c>
      <c r="E77" s="21" t="str">
        <f>CONCATENATE(Master_Roster[[#This Row],[Last Name]],", ",MID(Master_Roster[[#This Row],[First Name]],1,2))</f>
        <v>Brown, El</v>
      </c>
      <c r="F77" s="21" t="s">
        <v>157</v>
      </c>
      <c r="G77" s="21" t="s">
        <v>162</v>
      </c>
      <c r="H77" s="21" t="s">
        <v>283</v>
      </c>
      <c r="I77" s="21" t="s">
        <v>283</v>
      </c>
      <c r="J77" s="9" t="s">
        <v>283</v>
      </c>
      <c r="K77" s="21" t="s">
        <v>832</v>
      </c>
      <c r="L77" s="21" t="str">
        <f>IFERROR(VLOOKUP(Master_Roster[[#This Row],[Offical ID]],'Online Roster'!L$3:M$112,2,FALSE),"")</f>
        <v>RB</v>
      </c>
      <c r="M77" s="21" t="str" cm="1">
        <f t="array" ref="M7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7" s="21" t="str">
        <f>Master_Roster[[#This Row],[Offical ID]]</f>
        <v>Brown_Elias_25</v>
      </c>
      <c r="O77" s="23" t="s">
        <v>949</v>
      </c>
    </row>
    <row r="78" spans="1:15" x14ac:dyDescent="0.2">
      <c r="A78" s="24" t="s">
        <v>708</v>
      </c>
      <c r="B78" s="21" t="s">
        <v>282</v>
      </c>
      <c r="C78" s="22" t="s">
        <v>282</v>
      </c>
      <c r="D78" s="21" t="s">
        <v>638</v>
      </c>
      <c r="E78" s="21" t="str">
        <f>CONCATENATE(Master_Roster[[#This Row],[Last Name]],", ",MID(Master_Roster[[#This Row],[First Name]],1,2))</f>
        <v>Smith, Ja</v>
      </c>
      <c r="F78" s="21" t="s">
        <v>159</v>
      </c>
      <c r="G78" s="21" t="s">
        <v>102</v>
      </c>
      <c r="H78" s="21" t="s">
        <v>282</v>
      </c>
      <c r="I78" s="21" t="s">
        <v>282</v>
      </c>
      <c r="J78" s="43" t="str">
        <f>Master_Roster[[#This Row],[Simple Name]]</f>
        <v>Jaquail Smith</v>
      </c>
      <c r="K78" s="21" t="s">
        <v>839</v>
      </c>
      <c r="L78" s="21" t="str">
        <f>IFERROR(VLOOKUP(Master_Roster[[#This Row],[Offical ID]],'Online Roster'!L$3:M$112,2,FALSE),"")</f>
        <v>RB</v>
      </c>
      <c r="M78" s="21" t="str" cm="1">
        <f t="array" ref="M7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8" s="21" t="str">
        <f>Master_Roster[[#This Row],[Offical ID]]</f>
        <v>Smith_Jaquail_25</v>
      </c>
      <c r="O78" s="23" t="s">
        <v>949</v>
      </c>
    </row>
    <row r="79" spans="1:15" x14ac:dyDescent="0.2">
      <c r="A79" s="24" t="s">
        <v>708</v>
      </c>
      <c r="B79" s="21" t="s">
        <v>357</v>
      </c>
      <c r="C79" s="22" t="s">
        <v>272</v>
      </c>
      <c r="D79" s="21" t="s">
        <v>870</v>
      </c>
      <c r="E79" s="21" t="str">
        <f>CONCATENATE(Master_Roster[[#This Row],[Last Name]],", ",MID(Master_Roster[[#This Row],[First Name]],1,2))</f>
        <v>Henderson, Da</v>
      </c>
      <c r="F79" s="21" t="s">
        <v>94</v>
      </c>
      <c r="G79" s="21" t="s">
        <v>95</v>
      </c>
      <c r="H79" s="21" t="s">
        <v>272</v>
      </c>
      <c r="I79" s="30" t="s">
        <v>272</v>
      </c>
      <c r="J79" s="43" t="str">
        <f>Master_Roster[[#This Row],[Simple Name]]</f>
        <v>Damian Henderson</v>
      </c>
      <c r="K79" s="21" t="s">
        <v>836</v>
      </c>
      <c r="L79" s="21" t="s">
        <v>80</v>
      </c>
      <c r="M79" s="21" t="str" cm="1">
        <f t="array" ref="M7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79" s="21" t="str">
        <f>Master_Roster[[#This Row],[Offical ID]]</f>
        <v>Henderson_Damian_25</v>
      </c>
      <c r="O79" s="23" t="s">
        <v>947</v>
      </c>
    </row>
    <row r="80" spans="1:15" ht="16.5" x14ac:dyDescent="0.2">
      <c r="A80" s="24" t="s">
        <v>708</v>
      </c>
      <c r="B80" s="21" t="s">
        <v>578</v>
      </c>
      <c r="C80" s="21" t="s">
        <v>578</v>
      </c>
      <c r="D80" s="21" t="s">
        <v>712</v>
      </c>
      <c r="E80" s="21" t="s">
        <v>735</v>
      </c>
      <c r="F80" s="21"/>
      <c r="G80" s="21"/>
      <c r="H80" s="21" t="s">
        <v>578</v>
      </c>
      <c r="I80" s="21" t="s">
        <v>578</v>
      </c>
      <c r="J80" s="43" t="str">
        <f>Master_Roster[[#This Row],[Simple Name]]</f>
        <v>Michael Johnson</v>
      </c>
      <c r="K80" s="105" t="s">
        <v>961</v>
      </c>
      <c r="L80" s="21" t="str">
        <f>IFERROR(VLOOKUP(Master_Roster[[#This Row],[Offical ID]],'Online Roster'!L$3:M$112,2,FALSE),"")</f>
        <v>RB</v>
      </c>
      <c r="M80" s="21" t="str" cm="1">
        <f t="array" ref="M8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80" s="21" t="str">
        <f>Master_Roster[[#This Row],[Offical ID]]</f>
        <v>Johnson_Michael_25</v>
      </c>
      <c r="O80" s="23" t="s">
        <v>949</v>
      </c>
    </row>
    <row r="81" spans="1:15" x14ac:dyDescent="0.2">
      <c r="A81" s="24" t="s">
        <v>708</v>
      </c>
      <c r="B81" s="21" t="s">
        <v>969</v>
      </c>
      <c r="C81" s="22" t="s">
        <v>968</v>
      </c>
      <c r="D81" s="21" t="s">
        <v>580</v>
      </c>
      <c r="E81" s="21" t="str">
        <f>CONCATENATE(Master_Roster[[#This Row],[Last Name]],", ",MID(Master_Roster[[#This Row],[First Name]],1,2))</f>
        <v>Adams, Sa</v>
      </c>
      <c r="F81" s="21" t="s">
        <v>167</v>
      </c>
      <c r="G81" s="21" t="s">
        <v>168</v>
      </c>
      <c r="H81" s="21" t="s">
        <v>286</v>
      </c>
      <c r="I81" s="21" t="s">
        <v>968</v>
      </c>
      <c r="J81" s="9" t="s">
        <v>286</v>
      </c>
      <c r="K81" s="21" t="s">
        <v>830</v>
      </c>
      <c r="L81" s="21" t="str">
        <f>IFERROR(VLOOKUP(Master_Roster[[#This Row],[Offical ID]],'Online Roster'!L$3:M$112,2,FALSE),"")</f>
        <v>RB</v>
      </c>
      <c r="M81" s="21" t="str" cm="1">
        <f t="array" ref="M8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81" s="21" t="str">
        <f>Master_Roster[[#This Row],[Offical ID]]</f>
        <v>Adams_Sam_25</v>
      </c>
      <c r="O81" s="23" t="s">
        <v>947</v>
      </c>
    </row>
    <row r="82" spans="1:15" x14ac:dyDescent="0.2">
      <c r="A82" s="24" t="s">
        <v>708</v>
      </c>
      <c r="B82" s="21" t="s">
        <v>41</v>
      </c>
      <c r="C82" s="22" t="s">
        <v>41</v>
      </c>
      <c r="D82" s="21" t="s">
        <v>596</v>
      </c>
      <c r="E82" s="21" t="str">
        <f>CONCATENATE(Master_Roster[[#This Row],[Last Name]],", ",MID(Master_Roster[[#This Row],[First Name]],1,2))</f>
        <v>Curtis, Ja</v>
      </c>
      <c r="F82" s="21" t="s">
        <v>82</v>
      </c>
      <c r="G82" s="21" t="s">
        <v>83</v>
      </c>
      <c r="H82" s="21" t="s">
        <v>41</v>
      </c>
      <c r="I82" s="21" t="s">
        <v>41</v>
      </c>
      <c r="J82" s="9" t="s">
        <v>41</v>
      </c>
      <c r="K82" s="21" t="s">
        <v>834</v>
      </c>
      <c r="L82" s="21" t="str">
        <f>IFERROR(VLOOKUP(Master_Roster[[#This Row],[Offical ID]],'Online Roster'!L$3:M$112,2,FALSE),"")</f>
        <v>RB</v>
      </c>
      <c r="M82" s="21" t="str" cm="1">
        <f t="array" ref="M8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82" s="21" t="str">
        <f>Master_Roster[[#This Row],[Offical ID]]</f>
        <v>Curtis_Jamar_25</v>
      </c>
      <c r="O82" s="23" t="s">
        <v>948</v>
      </c>
    </row>
    <row r="83" spans="1:15" x14ac:dyDescent="0.2">
      <c r="A83" s="24" t="s">
        <v>708</v>
      </c>
      <c r="B83" s="21" t="s">
        <v>334</v>
      </c>
      <c r="C83" s="22" t="s">
        <v>31</v>
      </c>
      <c r="D83" s="21" t="s">
        <v>597</v>
      </c>
      <c r="E83" s="21" t="str">
        <f>CONCATENATE(Master_Roster[[#This Row],[Last Name]],", ",MID(Master_Roster[[#This Row],[First Name]],1,2))</f>
        <v>Hammond, Ro</v>
      </c>
      <c r="F83" s="21" t="s">
        <v>84</v>
      </c>
      <c r="G83" s="21" t="s">
        <v>85</v>
      </c>
      <c r="H83" s="21" t="s">
        <v>31</v>
      </c>
      <c r="I83" s="21" t="s">
        <v>31</v>
      </c>
      <c r="J83" s="9" t="s">
        <v>31</v>
      </c>
      <c r="K83" s="21" t="s">
        <v>835</v>
      </c>
      <c r="L83" s="21" t="str">
        <f>IFERROR(VLOOKUP(Master_Roster[[#This Row],[Offical ID]],'Online Roster'!L$3:M$112,2,FALSE),"")</f>
        <v>RB</v>
      </c>
      <c r="M83" s="21" t="str" cm="1">
        <f t="array" ref="M8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83" s="21" t="str">
        <f>Master_Roster[[#This Row],[Offical ID]]</f>
        <v>Hammond_Rodney_25</v>
      </c>
      <c r="O83" s="23" t="s">
        <v>948</v>
      </c>
    </row>
    <row r="84" spans="1:15" x14ac:dyDescent="0.2">
      <c r="A84" s="24" t="s">
        <v>708</v>
      </c>
      <c r="B84" s="21" t="s">
        <v>270</v>
      </c>
      <c r="C84" s="22" t="s">
        <v>270</v>
      </c>
      <c r="D84" s="21" t="s">
        <v>595</v>
      </c>
      <c r="E84" s="21" t="str">
        <f>CONCATENATE(Master_Roster[[#This Row],[Last Name]],", ",MID(Master_Roster[[#This Row],[First Name]],1,2))</f>
        <v>Red, Sa</v>
      </c>
      <c r="F84" s="21" t="s">
        <v>78</v>
      </c>
      <c r="G84" s="21" t="s">
        <v>79</v>
      </c>
      <c r="H84" s="21" t="s">
        <v>873</v>
      </c>
      <c r="I84" s="21" t="s">
        <v>270</v>
      </c>
      <c r="J84" s="9" t="s">
        <v>270</v>
      </c>
      <c r="K84" s="21" t="s">
        <v>838</v>
      </c>
      <c r="L84" s="21" t="s">
        <v>99</v>
      </c>
      <c r="M84" s="21" t="str" cm="1">
        <f t="array" ref="M8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84" s="21" t="str">
        <f>Master_Roster[[#This Row],[Offical ID]]</f>
        <v>Red_Savion_25</v>
      </c>
      <c r="O84" s="23" t="s">
        <v>948</v>
      </c>
    </row>
    <row r="85" spans="1:15" x14ac:dyDescent="0.2">
      <c r="A85" s="24" t="s">
        <v>708</v>
      </c>
      <c r="B85" s="21" t="s">
        <v>11</v>
      </c>
      <c r="C85" s="22" t="s">
        <v>11</v>
      </c>
      <c r="D85" s="21" t="s">
        <v>641</v>
      </c>
      <c r="E85" s="21" t="str">
        <f>CONCATENATE(Master_Roster[[#This Row],[Last Name]],", ",MID(Master_Roster[[#This Row],[First Name]],1,2))</f>
        <v>Chouteau, Lo</v>
      </c>
      <c r="F85" s="21" t="s">
        <v>163</v>
      </c>
      <c r="G85" s="21" t="s">
        <v>164</v>
      </c>
      <c r="H85" s="21" t="s">
        <v>11</v>
      </c>
      <c r="I85" s="21" t="s">
        <v>11</v>
      </c>
      <c r="J85" s="41" t="str">
        <f>Master_Roster[[#This Row],[Simple Name]]</f>
        <v>Lono Chouteau</v>
      </c>
      <c r="K85" s="21" t="s">
        <v>759</v>
      </c>
      <c r="L85" s="21" t="str">
        <f>IFERROR(VLOOKUP(Master_Roster[[#This Row],[Offical ID]],'Online Roster'!L$3:M$112,2,FALSE),"")</f>
        <v>S</v>
      </c>
      <c r="M85" s="21" t="str" cm="1">
        <f t="array" ref="M8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85" s="21" t="str">
        <f>Master_Roster[[#This Row],[Offical ID]]</f>
        <v>Chouteau_Lono_25</v>
      </c>
      <c r="O85" s="23" t="s">
        <v>949</v>
      </c>
    </row>
    <row r="86" spans="1:15" x14ac:dyDescent="0.2">
      <c r="A86" s="24" t="s">
        <v>708</v>
      </c>
      <c r="B86" s="21" t="s">
        <v>27</v>
      </c>
      <c r="C86" s="22" t="s">
        <v>27</v>
      </c>
      <c r="D86" s="21" t="s">
        <v>620</v>
      </c>
      <c r="E86" s="21" t="str">
        <f>CONCATENATE(Master_Roster[[#This Row],[Last Name]],", ",MID(Master_Roster[[#This Row],[First Name]],1,2))</f>
        <v>Emerson, Ye</v>
      </c>
      <c r="F86" s="21" t="s">
        <v>127</v>
      </c>
      <c r="G86" s="21" t="s">
        <v>128</v>
      </c>
      <c r="H86" s="21" t="s">
        <v>27</v>
      </c>
      <c r="I86" s="21" t="s">
        <v>27</v>
      </c>
      <c r="J86" s="9" t="s">
        <v>27</v>
      </c>
      <c r="K86" s="21" t="s">
        <v>760</v>
      </c>
      <c r="L86" s="21" t="str">
        <f>IFERROR(VLOOKUP(Master_Roster[[#This Row],[Offical ID]],'Online Roster'!L$3:M$112,2,FALSE),"")</f>
        <v>S</v>
      </c>
      <c r="M86" s="21" t="str" cm="1">
        <f t="array" ref="M8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86" s="21" t="str">
        <f>Master_Roster[[#This Row],[Offical ID]]</f>
        <v>Emerson_Yebrell_25</v>
      </c>
      <c r="O86" s="23" t="s">
        <v>949</v>
      </c>
    </row>
    <row r="87" spans="1:15" x14ac:dyDescent="0.2">
      <c r="A87" s="24" t="s">
        <v>708</v>
      </c>
      <c r="B87" s="21" t="s">
        <v>275</v>
      </c>
      <c r="C87" s="22" t="s">
        <v>275</v>
      </c>
      <c r="D87" s="21" t="s">
        <v>615</v>
      </c>
      <c r="E87" s="21" t="str">
        <f>CONCATENATE(Master_Roster[[#This Row],[Last Name]],", ",MID(Master_Roster[[#This Row],[First Name]],1,2))</f>
        <v>Hood, Ja</v>
      </c>
      <c r="F87" s="21" t="s">
        <v>120</v>
      </c>
      <c r="G87" s="21" t="s">
        <v>121</v>
      </c>
      <c r="H87" s="21" t="s">
        <v>275</v>
      </c>
      <c r="I87" s="21" t="s">
        <v>275</v>
      </c>
      <c r="J87" s="23" t="s">
        <v>275</v>
      </c>
      <c r="K87" s="21" t="s">
        <v>763</v>
      </c>
      <c r="L87" s="21" t="str">
        <f>IFERROR(VLOOKUP(Master_Roster[[#This Row],[Offical ID]],'Online Roster'!L$3:M$112,2,FALSE),"")</f>
        <v>S</v>
      </c>
      <c r="M87" s="21" t="str" cm="1">
        <f t="array" ref="M8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87" s="21" t="str">
        <f>Master_Roster[[#This Row],[Offical ID]]</f>
        <v>Hood_Jamal_25</v>
      </c>
      <c r="O87" s="23" t="s">
        <v>949</v>
      </c>
    </row>
    <row r="88" spans="1:15" x14ac:dyDescent="0.2">
      <c r="A88" s="24" t="s">
        <v>708</v>
      </c>
      <c r="B88" s="21" t="s">
        <v>454</v>
      </c>
      <c r="C88" s="22" t="s">
        <v>454</v>
      </c>
      <c r="D88" s="21" t="s">
        <v>642</v>
      </c>
      <c r="E88" s="21" t="str">
        <f>CONCATENATE(Master_Roster[[#This Row],[Last Name]],", ",MID(Master_Roster[[#This Row],[First Name]],1,2))</f>
        <v>Mitchell, Na</v>
      </c>
      <c r="F88" s="21" t="s">
        <v>589</v>
      </c>
      <c r="G88" s="21" t="s">
        <v>165</v>
      </c>
      <c r="H88" s="21" t="s">
        <v>284</v>
      </c>
      <c r="I88" s="21" t="s">
        <v>284</v>
      </c>
      <c r="J88" s="43" t="str">
        <f>Master_Roster[[#This Row],[Simple Name]]</f>
        <v>Naytel Mitchell</v>
      </c>
      <c r="K88" s="21" t="s">
        <v>767</v>
      </c>
      <c r="L88" s="21" t="str">
        <f>IFERROR(VLOOKUP(Master_Roster[[#This Row],[Offical ID]],'Online Roster'!L$3:M$112,2,FALSE),"")</f>
        <v>S</v>
      </c>
      <c r="M88" s="21" t="str" cm="1">
        <f t="array" ref="M8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88" s="21" t="str">
        <f>Master_Roster[[#This Row],[Offical ID]]</f>
        <v>Mitchell_Naytel_25</v>
      </c>
      <c r="O88" s="23" t="s">
        <v>949</v>
      </c>
    </row>
    <row r="89" spans="1:15" x14ac:dyDescent="0.2">
      <c r="A89" s="24" t="s">
        <v>708</v>
      </c>
      <c r="B89" s="21" t="s">
        <v>69</v>
      </c>
      <c r="C89" s="22" t="s">
        <v>69</v>
      </c>
      <c r="D89" s="21" t="s">
        <v>659</v>
      </c>
      <c r="E89" s="21" t="str">
        <f>CONCATENATE(Master_Roster[[#This Row],[Last Name]],", ",MID(Master_Roster[[#This Row],[First Name]],1,2))</f>
        <v>Solis, Jo</v>
      </c>
      <c r="F89" s="21" t="s">
        <v>198</v>
      </c>
      <c r="G89" s="21" t="s">
        <v>199</v>
      </c>
      <c r="H89" s="21" t="s">
        <v>69</v>
      </c>
      <c r="I89" s="21" t="s">
        <v>69</v>
      </c>
      <c r="J89" s="9" t="s">
        <v>69</v>
      </c>
      <c r="K89" s="21" t="s">
        <v>774</v>
      </c>
      <c r="L89" s="21" t="s">
        <v>80</v>
      </c>
      <c r="M89" s="21" t="str" cm="1">
        <f t="array" ref="M8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89" s="21" t="str">
        <f>Master_Roster[[#This Row],[Offical ID]]</f>
        <v>Solis_Jojo_25</v>
      </c>
      <c r="O89" s="23" t="s">
        <v>949</v>
      </c>
    </row>
    <row r="90" spans="1:15" x14ac:dyDescent="0.2">
      <c r="A90" s="24" t="s">
        <v>708</v>
      </c>
      <c r="B90" s="21" t="s">
        <v>273</v>
      </c>
      <c r="C90" s="22" t="s">
        <v>273</v>
      </c>
      <c r="D90" s="21" t="s">
        <v>601</v>
      </c>
      <c r="E90" s="21" t="str">
        <f>CONCATENATE(Master_Roster[[#This Row],[Last Name]],", ",MID(Master_Roster[[#This Row],[First Name]],1,2))</f>
        <v>Gordon, Di</v>
      </c>
      <c r="F90" s="21" t="s">
        <v>96</v>
      </c>
      <c r="G90" s="21" t="s">
        <v>97</v>
      </c>
      <c r="H90" s="21" t="s">
        <v>273</v>
      </c>
      <c r="I90" s="21" t="s">
        <v>273</v>
      </c>
      <c r="J90" s="23" t="s">
        <v>273</v>
      </c>
      <c r="K90" s="21" t="s">
        <v>761</v>
      </c>
      <c r="L90" s="21" t="str">
        <f>IFERROR(VLOOKUP(Master_Roster[[#This Row],[Offical ID]],'Online Roster'!L$3:M$112,2,FALSE),"")</f>
        <v>S</v>
      </c>
      <c r="M90" s="21" t="str" cm="1">
        <f t="array" ref="M9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90" s="21" t="str">
        <f>Master_Roster[[#This Row],[Offical ID]]</f>
        <v>Gordon_Diesel_25</v>
      </c>
      <c r="O90" s="23" t="s">
        <v>949</v>
      </c>
    </row>
    <row r="91" spans="1:15" x14ac:dyDescent="0.2">
      <c r="A91" s="24" t="s">
        <v>708</v>
      </c>
      <c r="B91" s="21" t="s">
        <v>0</v>
      </c>
      <c r="C91" s="22" t="s">
        <v>0</v>
      </c>
      <c r="D91" s="21" t="s">
        <v>960</v>
      </c>
      <c r="E91" s="21" t="str">
        <f>CONCATENATE(Master_Roster[[#This Row],[Last Name]],", ",MID(Master_Roster[[#This Row],[First Name]],1,2))</f>
        <v>McKenzie, An</v>
      </c>
      <c r="F91" s="21" t="s">
        <v>142</v>
      </c>
      <c r="G91" s="21" t="s">
        <v>143</v>
      </c>
      <c r="H91" s="21" t="s">
        <v>0</v>
      </c>
      <c r="I91" s="9" t="s">
        <v>0</v>
      </c>
      <c r="J91" s="9" t="s">
        <v>0</v>
      </c>
      <c r="K91" s="21" t="s">
        <v>766</v>
      </c>
      <c r="L91" s="21" t="s">
        <v>351</v>
      </c>
      <c r="M91" s="21" t="str" cm="1">
        <f t="array" ref="M9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91" s="21" t="str">
        <f>Master_Roster[[#This Row],[Offical ID]]</f>
        <v>McKenzie_Anta_Veon_25</v>
      </c>
      <c r="O91" s="23" t="s">
        <v>947</v>
      </c>
    </row>
    <row r="92" spans="1:15" x14ac:dyDescent="0.2">
      <c r="A92" s="24" t="s">
        <v>708</v>
      </c>
      <c r="B92" s="21" t="s">
        <v>24</v>
      </c>
      <c r="C92" s="22" t="s">
        <v>24</v>
      </c>
      <c r="D92" s="21" t="s">
        <v>645</v>
      </c>
      <c r="E92" s="21" t="str">
        <f>CONCATENATE(Master_Roster[[#This Row],[Last Name]],", ",MID(Master_Roster[[#This Row],[First Name]],1,2))</f>
        <v>Akui, Ko</v>
      </c>
      <c r="F92" s="21" t="s">
        <v>170</v>
      </c>
      <c r="G92" s="21" t="s">
        <v>171</v>
      </c>
      <c r="H92" s="21" t="s">
        <v>24</v>
      </c>
      <c r="I92" s="21" t="s">
        <v>24</v>
      </c>
      <c r="J92" s="30" t="s">
        <v>24</v>
      </c>
      <c r="K92" s="21" t="s">
        <v>758</v>
      </c>
      <c r="L92" s="21" t="str">
        <f>IFERROR(VLOOKUP(Master_Roster[[#This Row],[Offical ID]],'Online Roster'!L$3:M$112,2,FALSE),"")</f>
        <v>S</v>
      </c>
      <c r="M92" s="21" t="str" cm="1">
        <f t="array" ref="M9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92" s="21" t="str">
        <f>Master_Roster[[#This Row],[Offical ID]]</f>
        <v>Akui_Koa_25</v>
      </c>
      <c r="O92" s="23" t="s">
        <v>948</v>
      </c>
    </row>
    <row r="93" spans="1:15" x14ac:dyDescent="0.2">
      <c r="A93" s="24" t="s">
        <v>708</v>
      </c>
      <c r="B93" s="21" t="s">
        <v>20</v>
      </c>
      <c r="C93" s="22" t="s">
        <v>20</v>
      </c>
      <c r="D93" s="21" t="s">
        <v>626</v>
      </c>
      <c r="E93" s="21" t="str">
        <f>CONCATENATE(Master_Roster[[#This Row],[Last Name]],", ",MID(Master_Roster[[#This Row],[First Name]],1,2))</f>
        <v>Higgins, Ka</v>
      </c>
      <c r="F93" s="21" t="s">
        <v>137</v>
      </c>
      <c r="G93" s="21" t="s">
        <v>138</v>
      </c>
      <c r="H93" s="21" t="s">
        <v>20</v>
      </c>
      <c r="I93" s="21" t="s">
        <v>20</v>
      </c>
      <c r="J93" s="23" t="s">
        <v>20</v>
      </c>
      <c r="K93" s="21" t="s">
        <v>762</v>
      </c>
      <c r="L93" s="21" t="str">
        <f>IFERROR(VLOOKUP(Master_Roster[[#This Row],[Offical ID]],'Online Roster'!L$3:M$112,2,FALSE),"")</f>
        <v>S</v>
      </c>
      <c r="M93" s="21" t="str" cm="1">
        <f t="array" ref="M9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93" s="21" t="str">
        <f>Master_Roster[[#This Row],[Offical ID]]</f>
        <v>Higgins_Kaleb_25</v>
      </c>
      <c r="O93" s="23" t="s">
        <v>948</v>
      </c>
    </row>
    <row r="94" spans="1:15" x14ac:dyDescent="0.2">
      <c r="A94" s="24" t="s">
        <v>708</v>
      </c>
      <c r="B94" s="21" t="s">
        <v>70</v>
      </c>
      <c r="C94" s="22" t="s">
        <v>70</v>
      </c>
      <c r="D94" s="21" t="s">
        <v>690</v>
      </c>
      <c r="E94" s="21" t="str">
        <f>CONCATENATE(Master_Roster[[#This Row],[Last Name]],", ",MID(Master_Roster[[#This Row],[First Name]],1,2))</f>
        <v>Ambuehl, Da</v>
      </c>
      <c r="F94" s="21" t="s">
        <v>185</v>
      </c>
      <c r="G94" s="21" t="s">
        <v>252</v>
      </c>
      <c r="H94" s="21" t="s">
        <v>70</v>
      </c>
      <c r="I94" s="21" t="s">
        <v>70</v>
      </c>
      <c r="J94" s="9" t="s">
        <v>70</v>
      </c>
      <c r="K94" s="21" t="s">
        <v>844</v>
      </c>
      <c r="L94" s="21" t="str">
        <f>IFERROR(VLOOKUP(Master_Roster[[#This Row],[Offical ID]],'Online Roster'!L$3:M$112,2,FALSE),"")</f>
        <v>TE</v>
      </c>
      <c r="M94" s="21" t="str" cm="1">
        <f t="array" ref="M9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94" s="21" t="str">
        <f>Master_Roster[[#This Row],[Offical ID]]</f>
        <v>Ambuehl_Davis_25</v>
      </c>
      <c r="O94" s="23" t="s">
        <v>949</v>
      </c>
    </row>
    <row r="95" spans="1:15" x14ac:dyDescent="0.2">
      <c r="A95" s="24" t="s">
        <v>708</v>
      </c>
      <c r="B95" s="21" t="s">
        <v>35</v>
      </c>
      <c r="C95" s="22" t="s">
        <v>35</v>
      </c>
      <c r="D95" s="21" t="s">
        <v>689</v>
      </c>
      <c r="E95" s="21" t="str">
        <f>CONCATENATE(Master_Roster[[#This Row],[Last Name]],", ",MID(Master_Roster[[#This Row],[First Name]],1,2))</f>
        <v>Huddle, El</v>
      </c>
      <c r="F95" s="21" t="s">
        <v>208</v>
      </c>
      <c r="G95" s="21" t="s">
        <v>251</v>
      </c>
      <c r="H95" s="21" t="s">
        <v>35</v>
      </c>
      <c r="I95" s="21" t="s">
        <v>35</v>
      </c>
      <c r="J95" s="23" t="s">
        <v>35</v>
      </c>
      <c r="K95" s="21" t="s">
        <v>845</v>
      </c>
      <c r="L95" s="21" t="str">
        <f>IFERROR(VLOOKUP(Master_Roster[[#This Row],[Offical ID]],'Online Roster'!L$3:M$112,2,FALSE),"")</f>
        <v>TE</v>
      </c>
      <c r="M95" s="21" t="str" cm="1">
        <f t="array" ref="M9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95" s="21" t="str">
        <f>Master_Roster[[#This Row],[Offical ID]]</f>
        <v>Huddle_Elijah_25</v>
      </c>
      <c r="O95" s="23" t="s">
        <v>949</v>
      </c>
    </row>
    <row r="96" spans="1:15" x14ac:dyDescent="0.2">
      <c r="A96" s="24" t="s">
        <v>708</v>
      </c>
      <c r="B96" s="21" t="s">
        <v>301</v>
      </c>
      <c r="C96" s="22" t="s">
        <v>301</v>
      </c>
      <c r="D96" s="21" t="s">
        <v>692</v>
      </c>
      <c r="E96" s="21" t="str">
        <f>CONCATENATE(Master_Roster[[#This Row],[Last Name]],", ",MID(Master_Roster[[#This Row],[First Name]],1,2))</f>
        <v>Tenney, Be</v>
      </c>
      <c r="F96" s="21" t="s">
        <v>254</v>
      </c>
      <c r="G96" s="21" t="s">
        <v>255</v>
      </c>
      <c r="H96" s="21" t="s">
        <v>301</v>
      </c>
      <c r="I96" s="21" t="s">
        <v>301</v>
      </c>
      <c r="J96" s="43" t="str">
        <f>Master_Roster[[#This Row],[Simple Name]]</f>
        <v>Bear Tenney</v>
      </c>
      <c r="K96" s="21" t="s">
        <v>848</v>
      </c>
      <c r="L96" s="21" t="str">
        <f>IFERROR(VLOOKUP(Master_Roster[[#This Row],[Offical ID]],'Online Roster'!L$3:M$112,2,FALSE),"")</f>
        <v>TE</v>
      </c>
      <c r="M96" s="21" t="str" cm="1">
        <f t="array" ref="M9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96" s="21" t="str">
        <f>Master_Roster[[#This Row],[Offical ID]]</f>
        <v>Tenney_Bear_25</v>
      </c>
      <c r="O96" s="23" t="s">
        <v>949</v>
      </c>
    </row>
    <row r="97" spans="1:15" x14ac:dyDescent="0.2">
      <c r="A97" s="24" t="s">
        <v>708</v>
      </c>
      <c r="B97" s="21" t="s">
        <v>299</v>
      </c>
      <c r="C97" s="22" t="s">
        <v>299</v>
      </c>
      <c r="D97" s="21" t="s">
        <v>688</v>
      </c>
      <c r="E97" s="21" t="str">
        <f>CONCATENATE(Master_Roster[[#This Row],[Last Name]],", ",MID(Master_Roster[[#This Row],[First Name]],1,2))</f>
        <v>Robinson, Do</v>
      </c>
      <c r="F97" s="21" t="s">
        <v>250</v>
      </c>
      <c r="G97" s="21" t="s">
        <v>117</v>
      </c>
      <c r="H97" s="21" t="s">
        <v>299</v>
      </c>
      <c r="I97" s="21" t="s">
        <v>299</v>
      </c>
      <c r="J97" s="9" t="s">
        <v>299</v>
      </c>
      <c r="K97" s="21" t="s">
        <v>861</v>
      </c>
      <c r="L97" s="21" t="s">
        <v>93</v>
      </c>
      <c r="M97" s="21" t="str" cm="1">
        <f t="array" ref="M9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97" s="21" t="str">
        <f>Master_Roster[[#This Row],[Offical ID]]</f>
        <v>Robinson_Dontae_25</v>
      </c>
      <c r="O97" s="23" t="s">
        <v>949</v>
      </c>
    </row>
    <row r="98" spans="1:15" x14ac:dyDescent="0.2">
      <c r="A98" s="24" t="s">
        <v>708</v>
      </c>
      <c r="B98" s="21" t="s">
        <v>300</v>
      </c>
      <c r="C98" s="22" t="s">
        <v>300</v>
      </c>
      <c r="D98" s="21" t="s">
        <v>691</v>
      </c>
      <c r="E98" s="21" t="str">
        <f>CONCATENATE(Master_Roster[[#This Row],[Last Name]],", ",MID(Master_Roster[[#This Row],[First Name]],1,2))</f>
        <v>Nelson, Ga</v>
      </c>
      <c r="F98" s="21" t="s">
        <v>118</v>
      </c>
      <c r="G98" s="21" t="s">
        <v>253</v>
      </c>
      <c r="H98" s="21" t="s">
        <v>300</v>
      </c>
      <c r="I98" s="21" t="s">
        <v>300</v>
      </c>
      <c r="J98" s="30" t="s">
        <v>300</v>
      </c>
      <c r="K98" s="21" t="s">
        <v>847</v>
      </c>
      <c r="L98" s="21" t="str">
        <f>IFERROR(VLOOKUP(Master_Roster[[#This Row],[Offical ID]],'Online Roster'!L$3:M$112,2,FALSE),"")</f>
        <v>TE</v>
      </c>
      <c r="M98" s="21" t="str" cm="1">
        <f t="array" ref="M9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98" s="21" t="str">
        <f>Master_Roster[[#This Row],[Offical ID]]</f>
        <v>Nelson_Gavin_25</v>
      </c>
      <c r="O98" s="23" t="s">
        <v>947</v>
      </c>
    </row>
    <row r="99" spans="1:15" x14ac:dyDescent="0.2">
      <c r="A99" s="24" t="s">
        <v>708</v>
      </c>
      <c r="B99" s="21" t="s">
        <v>44</v>
      </c>
      <c r="C99" s="22" t="s">
        <v>44</v>
      </c>
      <c r="D99" s="21" t="s">
        <v>627</v>
      </c>
      <c r="E99" s="21" t="str">
        <f>CONCATENATE(Master_Roster[[#This Row],[Last Name]],", ",MID(Master_Roster[[#This Row],[First Name]],1,2))</f>
        <v>Williams, Jo</v>
      </c>
      <c r="F99" s="21" t="s">
        <v>91</v>
      </c>
      <c r="G99" s="21" t="s">
        <v>105</v>
      </c>
      <c r="H99" s="21" t="s">
        <v>44</v>
      </c>
      <c r="I99" s="21" t="s">
        <v>44</v>
      </c>
      <c r="J99" s="30" t="s">
        <v>44</v>
      </c>
      <c r="K99" s="21" t="s">
        <v>849</v>
      </c>
      <c r="L99" s="21" t="str">
        <f>IFERROR(VLOOKUP(Master_Roster[[#This Row],[Offical ID]],'Online Roster'!L$3:M$112,2,FALSE),"")</f>
        <v>TE</v>
      </c>
      <c r="M99" s="21" t="str" cm="1">
        <f t="array" ref="M9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Mids</v>
      </c>
      <c r="N99" s="21" t="str">
        <f>Master_Roster[[#This Row],[Offical ID]]</f>
        <v>Williams_Jordan_25</v>
      </c>
      <c r="O99" s="23" t="s">
        <v>948</v>
      </c>
    </row>
    <row r="100" spans="1:15" x14ac:dyDescent="0.2">
      <c r="A100" s="24" t="s">
        <v>708</v>
      </c>
      <c r="B100" s="21" t="s">
        <v>46</v>
      </c>
      <c r="C100" s="22" t="s">
        <v>46</v>
      </c>
      <c r="D100" s="21" t="s">
        <v>628</v>
      </c>
      <c r="E100" s="21" t="str">
        <f>CONCATENATE(Master_Roster[[#This Row],[Last Name]],", ",MID(Master_Roster[[#This Row],[First Name]],1,2))</f>
        <v>Bryant, Aj</v>
      </c>
      <c r="F100" s="21" t="s">
        <v>140</v>
      </c>
      <c r="G100" s="21" t="s">
        <v>141</v>
      </c>
      <c r="H100" s="21" t="s">
        <v>46</v>
      </c>
      <c r="I100" s="21" t="s">
        <v>46</v>
      </c>
      <c r="J100" s="9" t="s">
        <v>46</v>
      </c>
      <c r="K100" s="21" t="s">
        <v>833</v>
      </c>
      <c r="L100" s="21" t="s">
        <v>93</v>
      </c>
      <c r="M100" s="21" t="str" cm="1">
        <f t="array" ref="M10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0" s="21" t="str">
        <f>Master_Roster[[#This Row],[Offical ID]]</f>
        <v>Bryant_Ajon_25</v>
      </c>
      <c r="O100" s="23" t="s">
        <v>947</v>
      </c>
    </row>
    <row r="101" spans="1:15" x14ac:dyDescent="0.2">
      <c r="A101" s="24" t="s">
        <v>708</v>
      </c>
      <c r="B101" s="21" t="s">
        <v>14</v>
      </c>
      <c r="C101" s="22" t="s">
        <v>14</v>
      </c>
      <c r="D101" s="21" t="s">
        <v>635</v>
      </c>
      <c r="E101" s="21" t="str">
        <f>CONCATENATE(Master_Roster[[#This Row],[Last Name]],", ",MID(Master_Roster[[#This Row],[First Name]],1,2))</f>
        <v>Anderson, Ha</v>
      </c>
      <c r="F101" s="21" t="s">
        <v>156</v>
      </c>
      <c r="G101" s="21" t="s">
        <v>92</v>
      </c>
      <c r="H101" s="21" t="s">
        <v>14</v>
      </c>
      <c r="I101" s="21" t="s">
        <v>14</v>
      </c>
      <c r="J101" s="9" t="s">
        <v>14</v>
      </c>
      <c r="K101" s="21" t="s">
        <v>850</v>
      </c>
      <c r="L101" s="21" t="str">
        <f>IFERROR(VLOOKUP(Master_Roster[[#This Row],[Offical ID]],'Online Roster'!L$3:M$112,2,FALSE),"")</f>
        <v>WR</v>
      </c>
      <c r="M101" s="21" t="str" cm="1">
        <f t="array" ref="M10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1" s="21" t="str">
        <f>Master_Roster[[#This Row],[Offical ID]]</f>
        <v>Anderson_Hayden_25</v>
      </c>
      <c r="O101" s="23" t="s">
        <v>949</v>
      </c>
    </row>
    <row r="102" spans="1:15" x14ac:dyDescent="0.2">
      <c r="A102" s="24" t="s">
        <v>708</v>
      </c>
      <c r="B102" s="21" t="s">
        <v>13</v>
      </c>
      <c r="C102" s="22" t="s">
        <v>13</v>
      </c>
      <c r="D102" s="21" t="s">
        <v>685</v>
      </c>
      <c r="E102" s="21" t="str">
        <f>CONCATENATE(Master_Roster[[#This Row],[Last Name]],", ",MID(Master_Roster[[#This Row],[First Name]],1,2))</f>
        <v>Bass, Tr</v>
      </c>
      <c r="F102" s="21" t="s">
        <v>245</v>
      </c>
      <c r="G102" s="21" t="s">
        <v>246</v>
      </c>
      <c r="H102" s="21" t="s">
        <v>13</v>
      </c>
      <c r="I102" s="21" t="s">
        <v>13</v>
      </c>
      <c r="J102" s="43" t="str">
        <f>Master_Roster[[#This Row],[Simple Name]]</f>
        <v>Trey Bass</v>
      </c>
      <c r="K102" s="21" t="s">
        <v>852</v>
      </c>
      <c r="L102" s="21" t="str">
        <f>IFERROR(VLOOKUP(Master_Roster[[#This Row],[Offical ID]],'Online Roster'!L$3:M$112,2,FALSE),"")</f>
        <v>WR</v>
      </c>
      <c r="M102" s="21" t="str" cm="1">
        <f t="array" ref="M10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2" s="21" t="str">
        <f>Master_Roster[[#This Row],[Offical ID]]</f>
        <v>Bass_Trey_25</v>
      </c>
      <c r="O102" s="23" t="s">
        <v>949</v>
      </c>
    </row>
    <row r="103" spans="1:15" x14ac:dyDescent="0.2">
      <c r="A103" s="24" t="s">
        <v>708</v>
      </c>
      <c r="B103" s="21" t="s">
        <v>298</v>
      </c>
      <c r="C103" s="22" t="s">
        <v>298</v>
      </c>
      <c r="D103" s="21" t="s">
        <v>686</v>
      </c>
      <c r="E103" s="21" t="str">
        <f>CONCATENATE(Master_Roster[[#This Row],[Last Name]],", ",MID(Master_Roster[[#This Row],[First Name]],1,2))</f>
        <v>Fernandez, Tr</v>
      </c>
      <c r="F103" s="21" t="s">
        <v>247</v>
      </c>
      <c r="G103" s="21" t="s">
        <v>248</v>
      </c>
      <c r="H103" s="21" t="s">
        <v>298</v>
      </c>
      <c r="I103" s="21" t="s">
        <v>298</v>
      </c>
      <c r="J103" s="43" t="str">
        <f>Master_Roster[[#This Row],[Simple Name]]</f>
        <v>Tre Fernandez</v>
      </c>
      <c r="K103" s="21" t="s">
        <v>855</v>
      </c>
      <c r="L103" s="21" t="str">
        <f>IFERROR(VLOOKUP(Master_Roster[[#This Row],[Offical ID]],'Online Roster'!L$3:M$112,2,FALSE),"")</f>
        <v>WR</v>
      </c>
      <c r="M103" s="21" t="str" cm="1">
        <f t="array" ref="M10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3" s="21" t="str">
        <f>Master_Roster[[#This Row],[Offical ID]]</f>
        <v>Fernandez_Tre_25</v>
      </c>
      <c r="O103" s="23" t="s">
        <v>949</v>
      </c>
    </row>
    <row r="104" spans="1:15" x14ac:dyDescent="0.2">
      <c r="A104" s="24" t="s">
        <v>708</v>
      </c>
      <c r="B104" s="21" t="s">
        <v>12</v>
      </c>
      <c r="C104" s="22" t="s">
        <v>12</v>
      </c>
      <c r="D104" s="21" t="s">
        <v>622</v>
      </c>
      <c r="E104" s="21" t="str">
        <f>CONCATENATE(Master_Roster[[#This Row],[Last Name]],", ",MID(Master_Roster[[#This Row],[First Name]],1,2))</f>
        <v>Garner, Dr</v>
      </c>
      <c r="F104" s="21" t="s">
        <v>133</v>
      </c>
      <c r="G104" s="21" t="s">
        <v>134</v>
      </c>
      <c r="H104" s="21" t="s">
        <v>12</v>
      </c>
      <c r="I104" s="21" t="s">
        <v>12</v>
      </c>
      <c r="J104" s="43" t="str">
        <f>Master_Roster[[#This Row],[Simple Name]]</f>
        <v>Drey Garner</v>
      </c>
      <c r="K104" s="21" t="s">
        <v>857</v>
      </c>
      <c r="L104" s="21" t="str">
        <f>IFERROR(VLOOKUP(Master_Roster[[#This Row],[Offical ID]],'Online Roster'!L$3:M$112,2,FALSE),"")</f>
        <v>WR</v>
      </c>
      <c r="M104" s="21" t="str" cm="1">
        <f t="array" ref="M10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4" s="21" t="str">
        <f>Master_Roster[[#This Row],[Offical ID]]</f>
        <v>Garner_Drey_25</v>
      </c>
      <c r="O104" s="23" t="s">
        <v>949</v>
      </c>
    </row>
    <row r="105" spans="1:15" x14ac:dyDescent="0.2">
      <c r="A105" s="24" t="s">
        <v>708</v>
      </c>
      <c r="B105" s="21" t="s">
        <v>279</v>
      </c>
      <c r="C105" s="22" t="s">
        <v>279</v>
      </c>
      <c r="D105" s="21" t="s">
        <v>630</v>
      </c>
      <c r="E105" s="21" t="str">
        <f>CONCATENATE(Master_Roster[[#This Row],[Last Name]],", ",MID(Master_Roster[[#This Row],[First Name]],1,2))</f>
        <v>Nickens, Ty</v>
      </c>
      <c r="F105" s="21" t="s">
        <v>146</v>
      </c>
      <c r="G105" s="21" t="s">
        <v>147</v>
      </c>
      <c r="H105" s="21" t="s">
        <v>279</v>
      </c>
      <c r="I105" s="21" t="s">
        <v>279</v>
      </c>
      <c r="J105" s="43" t="str">
        <f>Master_Roster[[#This Row],[Simple Name]]</f>
        <v>Tye Nickens</v>
      </c>
      <c r="K105" s="21" t="s">
        <v>860</v>
      </c>
      <c r="L105" s="21" t="str">
        <f>IFERROR(VLOOKUP(Master_Roster[[#This Row],[Offical ID]],'Online Roster'!L$3:M$112,2,FALSE),"")</f>
        <v>WR</v>
      </c>
      <c r="M105" s="21" t="str" cm="1">
        <f t="array" ref="M10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5" s="21" t="str">
        <f>Master_Roster[[#This Row],[Offical ID]]</f>
        <v>Nickens_Tye_25</v>
      </c>
      <c r="O105" s="23" t="s">
        <v>949</v>
      </c>
    </row>
    <row r="106" spans="1:15" x14ac:dyDescent="0.2">
      <c r="A106" s="24" t="s">
        <v>708</v>
      </c>
      <c r="B106" s="21" t="s">
        <v>407</v>
      </c>
      <c r="C106" s="22" t="s">
        <v>5</v>
      </c>
      <c r="D106" s="21" t="s">
        <v>618</v>
      </c>
      <c r="E106" s="21" t="str">
        <f>CONCATENATE(Master_Roster[[#This Row],[Last Name]],", ",MID(Master_Roster[[#This Row],[First Name]],1,2))</f>
        <v>Smith, On</v>
      </c>
      <c r="F106" s="21" t="s">
        <v>124</v>
      </c>
      <c r="G106" s="21" t="s">
        <v>102</v>
      </c>
      <c r="H106" s="21" t="s">
        <v>5</v>
      </c>
      <c r="I106" s="21" t="s">
        <v>5</v>
      </c>
      <c r="J106" s="9" t="s">
        <v>5</v>
      </c>
      <c r="K106" s="21" t="s">
        <v>862</v>
      </c>
      <c r="L106" s="21" t="str">
        <f>IFERROR(VLOOKUP(Master_Roster[[#This Row],[Offical ID]],'Online Roster'!L$3:M$112,2,FALSE),"")</f>
        <v>WR</v>
      </c>
      <c r="M106" s="21" t="str" cm="1">
        <f t="array" ref="M10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6" s="21" t="str">
        <f>Master_Roster[[#This Row],[Offical ID]]</f>
        <v>Smith_Onterrio_25</v>
      </c>
      <c r="O106" s="23" t="s">
        <v>947</v>
      </c>
    </row>
    <row r="107" spans="1:15" x14ac:dyDescent="0.2">
      <c r="A107" s="24" t="s">
        <v>708</v>
      </c>
      <c r="B107" s="21" t="s">
        <v>10</v>
      </c>
      <c r="C107" s="22" t="s">
        <v>10</v>
      </c>
      <c r="D107" s="21" t="s">
        <v>614</v>
      </c>
      <c r="E107" s="21" t="str">
        <f>CONCATENATE(Master_Roster[[#This Row],[Last Name]],", ",MID(Master_Roster[[#This Row],[First Name]],1,2))</f>
        <v>Wilson, Ja</v>
      </c>
      <c r="F107" s="21" t="s">
        <v>115</v>
      </c>
      <c r="G107" s="21" t="s">
        <v>116</v>
      </c>
      <c r="H107" s="21" t="s">
        <v>10</v>
      </c>
      <c r="I107" s="21" t="s">
        <v>10</v>
      </c>
      <c r="J107" s="9" t="s">
        <v>10</v>
      </c>
      <c r="K107" s="21" t="s">
        <v>864</v>
      </c>
      <c r="L107" s="21" t="str">
        <f>IFERROR(VLOOKUP(Master_Roster[[#This Row],[Offical ID]],'Online Roster'!L$3:M$112,2,FALSE),"")</f>
        <v>WR</v>
      </c>
      <c r="M107" s="21" t="str" cm="1">
        <f t="array" ref="M10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7" s="21" t="str">
        <f>Master_Roster[[#This Row],[Offical ID]]</f>
        <v>Wilson_Jace_25</v>
      </c>
      <c r="O107" s="23" t="s">
        <v>949</v>
      </c>
    </row>
    <row r="108" spans="1:15" x14ac:dyDescent="0.2">
      <c r="A108" s="24" t="s">
        <v>708</v>
      </c>
      <c r="B108" s="21" t="s">
        <v>276</v>
      </c>
      <c r="C108" s="22" t="s">
        <v>276</v>
      </c>
      <c r="D108" s="21" t="s">
        <v>619</v>
      </c>
      <c r="E108" s="21" t="str">
        <f>CONCATENATE(Master_Roster[[#This Row],[Last Name]],", ",MID(Master_Roster[[#This Row],[First Name]],1,2))</f>
        <v>Campbell, Er</v>
      </c>
      <c r="F108" s="21" t="s">
        <v>125</v>
      </c>
      <c r="G108" s="21" t="s">
        <v>126</v>
      </c>
      <c r="H108" s="21" t="s">
        <v>276</v>
      </c>
      <c r="I108" s="21" t="s">
        <v>276</v>
      </c>
      <c r="J108" s="9" t="s">
        <v>276</v>
      </c>
      <c r="K108" s="21" t="s">
        <v>853</v>
      </c>
      <c r="L108" s="21" t="str">
        <f>IFERROR(VLOOKUP(Master_Roster[[#This Row],[Offical ID]],'Online Roster'!L$3:M$112,2,FALSE),"")</f>
        <v>WR</v>
      </c>
      <c r="M108" s="21" t="str" cm="1">
        <f t="array" ref="M10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8" s="21" t="str">
        <f>Master_Roster[[#This Row],[Offical ID]]</f>
        <v>Campbell_Ernest_25</v>
      </c>
      <c r="O108" s="23" t="s">
        <v>949</v>
      </c>
    </row>
    <row r="109" spans="1:15" x14ac:dyDescent="0.2">
      <c r="A109" s="24" t="s">
        <v>708</v>
      </c>
      <c r="B109" s="21" t="s">
        <v>22</v>
      </c>
      <c r="C109" s="22" t="s">
        <v>22</v>
      </c>
      <c r="D109" s="21" t="s">
        <v>611</v>
      </c>
      <c r="E109" s="21" t="str">
        <f>CONCATENATE(Master_Roster[[#This Row],[Last Name]],", ",MID(Master_Roster[[#This Row],[First Name]],1,2))</f>
        <v>McDaniel, Da</v>
      </c>
      <c r="F109" s="21" t="s">
        <v>111</v>
      </c>
      <c r="G109" s="21" t="s">
        <v>112</v>
      </c>
      <c r="H109" s="21" t="s">
        <v>22</v>
      </c>
      <c r="I109" s="21" t="s">
        <v>22</v>
      </c>
      <c r="J109" s="9" t="s">
        <v>22</v>
      </c>
      <c r="K109" s="21" t="s">
        <v>859</v>
      </c>
      <c r="L109" s="21" t="str">
        <f>IFERROR(VLOOKUP(Master_Roster[[#This Row],[Offical ID]],'Online Roster'!L$3:M$112,2,FALSE),"")</f>
        <v>WR</v>
      </c>
      <c r="M109" s="21" t="str" cm="1">
        <f t="array" ref="M10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09" s="21" t="str">
        <f>Master_Roster[[#This Row],[Offical ID]]</f>
        <v>McDaniel_Damien_25</v>
      </c>
      <c r="O109" s="23" t="s">
        <v>949</v>
      </c>
    </row>
    <row r="110" spans="1:15" x14ac:dyDescent="0.2">
      <c r="A110" s="24" t="s">
        <v>708</v>
      </c>
      <c r="B110" s="25" t="s">
        <v>271</v>
      </c>
      <c r="C110" s="25" t="s">
        <v>271</v>
      </c>
      <c r="D110" s="25" t="s">
        <v>736</v>
      </c>
      <c r="E110" s="25" t="s">
        <v>737</v>
      </c>
      <c r="F110" s="25" t="s">
        <v>738</v>
      </c>
      <c r="G110" s="25" t="s">
        <v>81</v>
      </c>
      <c r="H110" s="25" t="s">
        <v>271</v>
      </c>
      <c r="I110" s="25" t="s">
        <v>271</v>
      </c>
      <c r="J110" s="30" t="s">
        <v>271</v>
      </c>
      <c r="K110" s="25" t="s">
        <v>858</v>
      </c>
      <c r="L110" s="25" t="s">
        <v>93</v>
      </c>
      <c r="M110" s="21" t="str" cm="1">
        <f t="array" ref="M11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10" s="25" t="str">
        <f>Master_Roster[[#This Row],[Offical ID]]</f>
        <v>Hall_Agiye_25</v>
      </c>
      <c r="O110" s="23" t="s">
        <v>949</v>
      </c>
    </row>
    <row r="111" spans="1:15" x14ac:dyDescent="0.2">
      <c r="A111" s="25" t="s">
        <v>708</v>
      </c>
      <c r="B111" s="25" t="s">
        <v>7</v>
      </c>
      <c r="C111" s="26" t="s">
        <v>7</v>
      </c>
      <c r="D111" s="25" t="s">
        <v>599</v>
      </c>
      <c r="E111" s="25" t="str">
        <f>CONCATENATE(Master_Roster[[#This Row],[Last Name]],", ",MID(Master_Roster[[#This Row],[First Name]],1,2))</f>
        <v>Anderson, Jo</v>
      </c>
      <c r="F111" s="25" t="s">
        <v>91</v>
      </c>
      <c r="G111" s="25" t="s">
        <v>92</v>
      </c>
      <c r="H111" s="25" t="s">
        <v>7</v>
      </c>
      <c r="I111" s="25" t="s">
        <v>7</v>
      </c>
      <c r="J111" s="9" t="s">
        <v>7</v>
      </c>
      <c r="K111" s="25" t="s">
        <v>851</v>
      </c>
      <c r="L111" s="25" t="str">
        <f>IFERROR(VLOOKUP(Master_Roster[[#This Row],[Offical ID]],'Online Roster'!L$3:M$112,2,FALSE),"")</f>
        <v>WR</v>
      </c>
      <c r="M111" s="25" t="str" cm="1">
        <f t="array" ref="M11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11" s="25" t="str">
        <f>Master_Roster[[#This Row],[Offical ID]]</f>
        <v>Anderson_Jordan_25</v>
      </c>
      <c r="O111" s="23" t="s">
        <v>948</v>
      </c>
    </row>
    <row r="112" spans="1:15" hidden="1" x14ac:dyDescent="0.2">
      <c r="A112" s="25" t="s">
        <v>713</v>
      </c>
      <c r="B112" s="25"/>
      <c r="C112" s="26"/>
      <c r="D112" s="25" t="s">
        <v>741</v>
      </c>
      <c r="E112" s="25" t="str">
        <f>CONCATENATE(Master_Roster[[#This Row],[Last Name]],", ",MID(Master_Roster[[#This Row],[First Name]],1,2))</f>
        <v xml:space="preserve">, </v>
      </c>
      <c r="F112" s="25"/>
      <c r="G112" s="25"/>
      <c r="H112" s="25" t="s">
        <v>740</v>
      </c>
      <c r="I112" s="25"/>
      <c r="J112" s="25"/>
      <c r="K112" s="25"/>
      <c r="L112" s="25" t="str">
        <f>IFERROR(VLOOKUP(Master_Roster[[#This Row],[Offical ID]],'Online Roster'!L$3:M$112,2,FALSE),"")</f>
        <v/>
      </c>
      <c r="M112" s="25" t="str" cm="1">
        <f t="array" ref="M11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2" s="25" t="str">
        <f>Master_Roster[[#This Row],[Offical ID]]</f>
        <v>Patton_Alex_24</v>
      </c>
      <c r="O112" s="23"/>
    </row>
    <row r="113" spans="1:15" hidden="1" x14ac:dyDescent="0.2">
      <c r="A113" s="25" t="s">
        <v>713</v>
      </c>
      <c r="B113" s="25"/>
      <c r="C113" s="26"/>
      <c r="D113" s="25" t="s">
        <v>743</v>
      </c>
      <c r="E113" s="25" t="str">
        <f>CONCATENATE(Master_Roster[[#This Row],[Last Name]],", ",MID(Master_Roster[[#This Row],[First Name]],1,2))</f>
        <v xml:space="preserve">, </v>
      </c>
      <c r="F113" s="25"/>
      <c r="G113" s="25"/>
      <c r="H113" s="25" t="s">
        <v>742</v>
      </c>
      <c r="I113" s="25"/>
      <c r="J113" s="25"/>
      <c r="K113" s="25"/>
      <c r="L113" s="25" t="str">
        <f>IFERROR(VLOOKUP(Master_Roster[[#This Row],[Offical ID]],'Online Roster'!L$3:M$112,2,FALSE),"")</f>
        <v/>
      </c>
      <c r="M113" s="25" t="str" cm="1">
        <f t="array" ref="M11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3" s="23" t="str">
        <f>Master_Roster[[#This Row],[Offical ID]]</f>
        <v>Lands_Christopher_24</v>
      </c>
      <c r="O113" s="23"/>
    </row>
    <row r="114" spans="1:15" hidden="1" x14ac:dyDescent="0.2">
      <c r="A114" s="25" t="s">
        <v>713</v>
      </c>
      <c r="B114" s="21"/>
      <c r="C114" s="22"/>
      <c r="D114" s="21" t="s">
        <v>751</v>
      </c>
      <c r="E114" s="21" t="str">
        <f>CONCATENATE(Master_Roster[[#This Row],[Last Name]],", ",MID(Master_Roster[[#This Row],[First Name]],1,2))</f>
        <v xml:space="preserve">, </v>
      </c>
      <c r="F114" s="21"/>
      <c r="G114" s="21"/>
      <c r="H114" s="21" t="s">
        <v>744</v>
      </c>
      <c r="I114" s="21"/>
      <c r="J114" s="21"/>
      <c r="K114" s="21"/>
      <c r="L114" s="21" t="str">
        <f>IFERROR(VLOOKUP(Master_Roster[[#This Row],[Offical ID]],'Online Roster'!L$3:M$112,2,FALSE),"")</f>
        <v/>
      </c>
      <c r="M114" s="21" t="str" cm="1">
        <f t="array" ref="M11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4" s="23" t="str">
        <f>Master_Roster[[#This Row],[Offical ID]]</f>
        <v>Robles_Ajay_25</v>
      </c>
      <c r="O114" s="23"/>
    </row>
    <row r="115" spans="1:15" hidden="1" x14ac:dyDescent="0.2">
      <c r="A115" s="25" t="s">
        <v>713</v>
      </c>
      <c r="B115" s="21"/>
      <c r="C115" s="22"/>
      <c r="D115" s="21" t="s">
        <v>752</v>
      </c>
      <c r="E115" s="21" t="str">
        <f>CONCATENATE(Master_Roster[[#This Row],[Last Name]],", ",MID(Master_Roster[[#This Row],[First Name]],1,2))</f>
        <v xml:space="preserve">, </v>
      </c>
      <c r="F115" s="21"/>
      <c r="G115" s="21"/>
      <c r="H115" s="21" t="s">
        <v>745</v>
      </c>
      <c r="I115" s="21"/>
      <c r="J115" s="21"/>
      <c r="K115" s="21"/>
      <c r="L115" s="21" t="str">
        <f>IFERROR(VLOOKUP(Master_Roster[[#This Row],[Offical ID]],'Online Roster'!L$3:M$112,2,FALSE),"")</f>
        <v/>
      </c>
      <c r="M115" s="21" t="str" cm="1">
        <f t="array" ref="M11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5" s="23" t="str">
        <f>Master_Roster[[#This Row],[Offical ID]]</f>
        <v>Gue_Allbranly_25</v>
      </c>
      <c r="O115" s="23"/>
    </row>
    <row r="116" spans="1:15" hidden="1" x14ac:dyDescent="0.2">
      <c r="A116" s="25" t="s">
        <v>713</v>
      </c>
      <c r="B116" s="25"/>
      <c r="C116" s="26"/>
      <c r="D116" s="25" t="s">
        <v>753</v>
      </c>
      <c r="E116" s="25" t="str">
        <f>CONCATENATE(Master_Roster[[#This Row],[Last Name]],", ",MID(Master_Roster[[#This Row],[First Name]],1,2))</f>
        <v xml:space="preserve">, </v>
      </c>
      <c r="F116" s="25"/>
      <c r="G116" s="25"/>
      <c r="H116" s="34" t="s">
        <v>746</v>
      </c>
      <c r="I116" s="25"/>
      <c r="J116" s="25"/>
      <c r="K116" s="25"/>
      <c r="L116" s="25" t="str">
        <f>IFERROR(VLOOKUP(Master_Roster[[#This Row],[Offical ID]],'Online Roster'!L$3:M$112,2,FALSE),"")</f>
        <v/>
      </c>
      <c r="M116" s="25" t="str" cm="1">
        <f t="array" ref="M116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6" s="23" t="str">
        <f>Master_Roster[[#This Row],[Offical ID]]</f>
        <v>Carey_Montgomery_25</v>
      </c>
      <c r="O116" s="23"/>
    </row>
    <row r="117" spans="1:15" hidden="1" x14ac:dyDescent="0.2">
      <c r="A117" s="25" t="s">
        <v>713</v>
      </c>
      <c r="B117" s="25"/>
      <c r="C117" s="26"/>
      <c r="D117" s="25" t="s">
        <v>754</v>
      </c>
      <c r="E117" s="25" t="str">
        <f>CONCATENATE(Master_Roster[[#This Row],[Last Name]],", ",MID(Master_Roster[[#This Row],[First Name]],1,2))</f>
        <v xml:space="preserve">, </v>
      </c>
      <c r="F117" s="25"/>
      <c r="G117" s="25"/>
      <c r="H117" s="35" t="s">
        <v>747</v>
      </c>
      <c r="I117" s="25"/>
      <c r="J117" s="25"/>
      <c r="K117" s="25"/>
      <c r="L117" s="25" t="str">
        <f>IFERROR(VLOOKUP(Master_Roster[[#This Row],[Offical ID]],'Online Roster'!L$3:M$112,2,FALSE),"")</f>
        <v/>
      </c>
      <c r="M117" s="25" t="str" cm="1">
        <f t="array" ref="M117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7" s="23" t="str">
        <f>Master_Roster[[#This Row],[Offical ID]]</f>
        <v>Conklin_Carson_25</v>
      </c>
      <c r="O117" s="23"/>
    </row>
    <row r="118" spans="1:15" hidden="1" x14ac:dyDescent="0.2">
      <c r="A118" s="25" t="s">
        <v>713</v>
      </c>
      <c r="B118" s="25"/>
      <c r="C118" s="26"/>
      <c r="D118" s="25" t="s">
        <v>755</v>
      </c>
      <c r="E118" s="25" t="str">
        <f>CONCATENATE(Master_Roster[[#This Row],[Last Name]],", ",MID(Master_Roster[[#This Row],[First Name]],1,2))</f>
        <v xml:space="preserve">, </v>
      </c>
      <c r="F118" s="25"/>
      <c r="G118" s="25"/>
      <c r="H118" s="34" t="s">
        <v>748</v>
      </c>
      <c r="I118" s="25"/>
      <c r="J118" s="25"/>
      <c r="K118" s="25"/>
      <c r="L118" s="25" t="str">
        <f>IFERROR(VLOOKUP(Master_Roster[[#This Row],[Offical ID]],'Online Roster'!L$3:M$112,2,FALSE),"")</f>
        <v/>
      </c>
      <c r="M118" s="25" t="str" cm="1">
        <f t="array" ref="M118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8" s="23" t="str">
        <f>Master_Roster[[#This Row],[Offical ID]]</f>
        <v>Skytta_Emil_25</v>
      </c>
      <c r="O118" s="23"/>
    </row>
    <row r="119" spans="1:15" hidden="1" x14ac:dyDescent="0.2">
      <c r="A119" s="25" t="s">
        <v>713</v>
      </c>
      <c r="B119" s="25"/>
      <c r="C119" s="26"/>
      <c r="D119" s="25" t="s">
        <v>756</v>
      </c>
      <c r="E119" s="25" t="str">
        <f>CONCATENATE(Master_Roster[[#This Row],[Last Name]],", ",MID(Master_Roster[[#This Row],[First Name]],1,2))</f>
        <v xml:space="preserve">, </v>
      </c>
      <c r="F119" s="25"/>
      <c r="G119" s="25"/>
      <c r="H119" s="35" t="s">
        <v>749</v>
      </c>
      <c r="I119" s="25"/>
      <c r="J119" s="25"/>
      <c r="K119" s="25"/>
      <c r="L119" s="25" t="str">
        <f>IFERROR(VLOOKUP(Master_Roster[[#This Row],[Offical ID]],'Online Roster'!L$3:M$112,2,FALSE),"")</f>
        <v/>
      </c>
      <c r="M119" s="25" t="str" cm="1">
        <f t="array" ref="M119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19" s="23" t="str">
        <f>Master_Roster[[#This Row],[Offical ID]]</f>
        <v>Allen_Daizon_25</v>
      </c>
      <c r="O119" s="23"/>
    </row>
    <row r="120" spans="1:15" hidden="1" x14ac:dyDescent="0.2">
      <c r="A120" s="25" t="s">
        <v>713</v>
      </c>
      <c r="B120" s="25"/>
      <c r="C120" s="26"/>
      <c r="D120" s="25" t="s">
        <v>757</v>
      </c>
      <c r="E120" s="25" t="str">
        <f>CONCATENATE(Master_Roster[[#This Row],[Last Name]],", ",MID(Master_Roster[[#This Row],[First Name]],1,2))</f>
        <v xml:space="preserve">, </v>
      </c>
      <c r="F120" s="25"/>
      <c r="G120" s="25"/>
      <c r="H120" s="34" t="s">
        <v>750</v>
      </c>
      <c r="I120" s="25"/>
      <c r="J120" s="25"/>
      <c r="K120" s="25"/>
      <c r="L120" s="25" t="str">
        <f>IFERROR(VLOOKUP(Master_Roster[[#This Row],[Offical ID]],'Online Roster'!L$3:M$112,2,FALSE),"")</f>
        <v/>
      </c>
      <c r="M120" s="25" t="str" cm="1">
        <f t="array" ref="M120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20" s="23" t="str">
        <f>Master_Roster[[#This Row],[Offical ID]]</f>
        <v>Dahdouh_Stephen_25</v>
      </c>
      <c r="O120" s="23"/>
    </row>
    <row r="121" spans="1:15" x14ac:dyDescent="0.2">
      <c r="A121" s="25" t="s">
        <v>708</v>
      </c>
      <c r="B121" s="23" t="s">
        <v>15</v>
      </c>
      <c r="C121" s="42" t="s">
        <v>15</v>
      </c>
      <c r="D121" s="25" t="s">
        <v>609</v>
      </c>
      <c r="E121" s="25" t="str">
        <f>CONCATENATE(Master_Roster[[#This Row],[Last Name]],", ",MID(Master_Roster[[#This Row],[First Name]],1,2))</f>
        <v>Conerly, Ti</v>
      </c>
      <c r="F121" s="25" t="s">
        <v>107</v>
      </c>
      <c r="G121" s="25" t="s">
        <v>108</v>
      </c>
      <c r="H121" s="23" t="s">
        <v>15</v>
      </c>
      <c r="I121" s="23" t="s">
        <v>15</v>
      </c>
      <c r="J121" s="9" t="s">
        <v>15</v>
      </c>
      <c r="K121" s="25" t="s">
        <v>854</v>
      </c>
      <c r="L121" s="25" t="str">
        <f>IFERROR(VLOOKUP(Master_Roster[[#This Row],[Offical ID]],'Online Roster'!L$3:M$112,2,FALSE),"")</f>
        <v>WR</v>
      </c>
      <c r="M121" s="25" t="str" cm="1">
        <f t="array" ref="M121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21" s="23" t="str">
        <f>Master_Roster[[#This Row],[Offical ID]]</f>
        <v>Conerly_Tim_25</v>
      </c>
      <c r="O121" s="23" t="s">
        <v>948</v>
      </c>
    </row>
    <row r="122" spans="1:15" hidden="1" x14ac:dyDescent="0.2">
      <c r="A122" s="25" t="s">
        <v>713</v>
      </c>
      <c r="B122" s="25" t="s">
        <v>941</v>
      </c>
      <c r="C122" s="26" t="s">
        <v>941</v>
      </c>
      <c r="D122" s="25" t="s">
        <v>945</v>
      </c>
      <c r="E122" s="25" t="s">
        <v>942</v>
      </c>
      <c r="F122" s="25" t="s">
        <v>943</v>
      </c>
      <c r="G122" s="25" t="s">
        <v>944</v>
      </c>
      <c r="H122" s="25"/>
      <c r="I122" s="25" t="s">
        <v>941</v>
      </c>
      <c r="J122" s="25"/>
      <c r="K122" s="25" t="str">
        <f>CONCATENATE(Master_Roster[[#This Row],[Last Name]],", ",Master_Roster[[#This Row],[First Name]])</f>
        <v>Stovall, Melquise</v>
      </c>
      <c r="L122" s="25"/>
      <c r="M122" s="25" t="str" cm="1">
        <f t="array" ref="M122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22" s="25" t="str">
        <f>Master_Roster[[#This Row],[Offical ID]]</f>
        <v>Stovall_Melquise_24</v>
      </c>
      <c r="O122" s="23" t="s">
        <v>949</v>
      </c>
    </row>
    <row r="123" spans="1:15" hidden="1" x14ac:dyDescent="0.2">
      <c r="A123" s="25" t="s">
        <v>713</v>
      </c>
      <c r="B123" s="25" t="s">
        <v>280</v>
      </c>
      <c r="C123" s="26" t="s">
        <v>280</v>
      </c>
      <c r="D123" s="25" t="s">
        <v>633</v>
      </c>
      <c r="E123" s="25" t="str">
        <f>CONCATENATE(Master_Roster[[#This Row],[Last Name]],", ",MID(Master_Roster[[#This Row],[First Name]],1,2))</f>
        <v>Tanner, Lo</v>
      </c>
      <c r="F123" s="25" t="s">
        <v>150</v>
      </c>
      <c r="G123" s="25" t="s">
        <v>151</v>
      </c>
      <c r="H123" s="25" t="s">
        <v>280</v>
      </c>
      <c r="I123" s="25" t="s">
        <v>280</v>
      </c>
      <c r="J123" s="19" t="s">
        <v>280</v>
      </c>
      <c r="K123" s="25" t="s">
        <v>846</v>
      </c>
      <c r="L123" s="25"/>
      <c r="M123" s="25" t="str" cm="1">
        <f t="array" ref="M123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/>
      </c>
      <c r="N123" s="25" t="str">
        <f>Master_Roster[[#This Row],[Offical ID]]</f>
        <v>Tanner_Logan_25</v>
      </c>
      <c r="O123" s="23" t="s">
        <v>949</v>
      </c>
    </row>
    <row r="124" spans="1:15" x14ac:dyDescent="0.2">
      <c r="A124" s="25" t="s">
        <v>708</v>
      </c>
      <c r="B124" s="25" t="s">
        <v>19</v>
      </c>
      <c r="C124" s="26" t="s">
        <v>19</v>
      </c>
      <c r="D124" s="25" t="s">
        <v>687</v>
      </c>
      <c r="E124" s="25" t="str">
        <f>CONCATENATE(Master_Roster[[#This Row],[Last Name]],", ",MID(Master_Roster[[#This Row],[First Name]],1,2))</f>
        <v>Fresques, Ja</v>
      </c>
      <c r="F124" s="25" t="s">
        <v>229</v>
      </c>
      <c r="G124" s="25" t="s">
        <v>249</v>
      </c>
      <c r="H124" s="25" t="s">
        <v>19</v>
      </c>
      <c r="I124" s="25" t="s">
        <v>19</v>
      </c>
      <c r="J124" s="25" t="s">
        <v>19</v>
      </c>
      <c r="K124" s="23" t="s">
        <v>856</v>
      </c>
      <c r="L124" s="25" t="str">
        <f>IFERROR(VLOOKUP(Master_Roster[[#This Row],[Offical ID]],'Online Roster'!L$3:M$112,2,FALSE),"")</f>
        <v>WR</v>
      </c>
      <c r="M124" s="25" t="str" cm="1">
        <f t="array" ref="M124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24" s="25" t="str">
        <f>Master_Roster[[#This Row],[Offical ID]]</f>
        <v>Fresques_Jaxon_25</v>
      </c>
      <c r="O124" s="23" t="s">
        <v>947</v>
      </c>
    </row>
    <row r="125" spans="1:15" x14ac:dyDescent="0.2">
      <c r="A125" s="25" t="s">
        <v>708</v>
      </c>
      <c r="B125" s="25" t="s">
        <v>16</v>
      </c>
      <c r="C125" s="26" t="s">
        <v>16</v>
      </c>
      <c r="D125" s="25" t="s">
        <v>616</v>
      </c>
      <c r="E125" s="25" t="str">
        <f>CONCATENATE(Master_Roster[[#This Row],[Last Name]],", ",MID(Master_Roster[[#This Row],[First Name]],1,2))</f>
        <v>Thomson, Ga</v>
      </c>
      <c r="F125" s="25" t="s">
        <v>118</v>
      </c>
      <c r="G125" s="25" t="s">
        <v>119</v>
      </c>
      <c r="H125" s="25" t="s">
        <v>16</v>
      </c>
      <c r="I125" s="25" t="s">
        <v>16</v>
      </c>
      <c r="J125" s="19" t="s">
        <v>16</v>
      </c>
      <c r="K125" s="25" t="s">
        <v>863</v>
      </c>
      <c r="L125" s="25" t="str">
        <f>IFERROR(VLOOKUP(Master_Roster[[#This Row],[Offical ID]],'Online Roster'!L$3:M$112,2,FALSE),"")</f>
        <v>WR</v>
      </c>
      <c r="M125" s="25" t="str" cm="1">
        <f t="array" ref="M125">IFERROR(_xlfn.IFS(OR(Master_Roster[[#This Row],[Position]]="OL",Master_Roster[[#This Row],[Position]]="DL"),"Bigs",OR(Master_Roster[[#This Row],[Position]]="ILB",Master_Roster[[#This Row],[Position]]="OLB",Master_Roster[[#This Row],[Position]]="TE",Master_Roster[[#This Row],[Position]]="QB",Master_Roster[[#This Row],[Position]]="RB",Master_Roster[[#This Row],[Position]]="FB"),"Mids",OR(Master_Roster[[#This Row],[Position]]="WR",Master_Roster[[#This Row],[Position]]="CB",Master_Roster[[#This Row],[Position]]="S"),"Skills",OR(Master_Roster[[#This Row],[Position]]="K",Master_Roster[[#This Row],[Position]]="P",Master_Roster[[#This Row],[Position]]="LS",),"Spec"),"")</f>
        <v>Skills</v>
      </c>
      <c r="N125" s="23" t="str">
        <f>Master_Roster[[#This Row],[Offical ID]]</f>
        <v>Thomson_Gavin_25</v>
      </c>
      <c r="O125" s="23" t="s">
        <v>948</v>
      </c>
    </row>
  </sheetData>
  <phoneticPr fontId="11" type="noConversion"/>
  <dataValidations disablePrompts="1" count="1">
    <dataValidation allowBlank="1" showDropDown="1" sqref="K80 K23" xr:uid="{F127026B-5AC3-41D1-8CD4-035B80717E5D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DC67-B424-4AD8-B090-8AF2C604281D}">
  <dimension ref="A1:K25"/>
  <sheetViews>
    <sheetView workbookViewId="0">
      <selection activeCell="K23" sqref="K23"/>
    </sheetView>
  </sheetViews>
  <sheetFormatPr defaultRowHeight="15" x14ac:dyDescent="0.2"/>
  <cols>
    <col min="1" max="1" width="12.375" bestFit="1" customWidth="1"/>
    <col min="2" max="2" width="14.9296875" bestFit="1" customWidth="1"/>
  </cols>
  <sheetData>
    <row r="1" spans="1:7" x14ac:dyDescent="0.2">
      <c r="A1" s="27" t="s">
        <v>707</v>
      </c>
      <c r="B1" t="s">
        <v>708</v>
      </c>
    </row>
    <row r="3" spans="1:7" x14ac:dyDescent="0.2">
      <c r="A3" s="27" t="s">
        <v>719</v>
      </c>
      <c r="B3" t="s">
        <v>721</v>
      </c>
    </row>
    <row r="4" spans="1:7" x14ac:dyDescent="0.2">
      <c r="A4" s="28" t="s">
        <v>321</v>
      </c>
      <c r="B4">
        <v>11</v>
      </c>
      <c r="E4" t="s">
        <v>321</v>
      </c>
      <c r="F4">
        <v>11</v>
      </c>
      <c r="G4" t="s">
        <v>894</v>
      </c>
    </row>
    <row r="5" spans="1:7" x14ac:dyDescent="0.2">
      <c r="A5" s="28" t="s">
        <v>88</v>
      </c>
      <c r="B5">
        <v>11</v>
      </c>
      <c r="E5" t="s">
        <v>88</v>
      </c>
      <c r="F5">
        <v>11</v>
      </c>
      <c r="G5" t="s">
        <v>963</v>
      </c>
    </row>
    <row r="6" spans="1:7" x14ac:dyDescent="0.2">
      <c r="A6" s="28" t="s">
        <v>483</v>
      </c>
      <c r="B6">
        <v>2</v>
      </c>
      <c r="E6" t="s">
        <v>483</v>
      </c>
      <c r="F6">
        <v>2</v>
      </c>
      <c r="G6" t="s">
        <v>732</v>
      </c>
    </row>
    <row r="7" spans="1:7" x14ac:dyDescent="0.2">
      <c r="A7" s="28" t="s">
        <v>425</v>
      </c>
      <c r="B7">
        <v>11</v>
      </c>
      <c r="E7" t="s">
        <v>425</v>
      </c>
      <c r="F7">
        <v>11</v>
      </c>
      <c r="G7" t="s">
        <v>892</v>
      </c>
    </row>
    <row r="8" spans="1:7" x14ac:dyDescent="0.2">
      <c r="A8" s="28" t="s">
        <v>202</v>
      </c>
      <c r="B8">
        <v>3</v>
      </c>
      <c r="E8" t="s">
        <v>202</v>
      </c>
      <c r="F8">
        <v>3</v>
      </c>
    </row>
    <row r="9" spans="1:7" x14ac:dyDescent="0.2">
      <c r="A9" s="28" t="s">
        <v>188</v>
      </c>
      <c r="B9">
        <v>2</v>
      </c>
      <c r="E9" t="s">
        <v>188</v>
      </c>
      <c r="F9">
        <v>2</v>
      </c>
    </row>
    <row r="10" spans="1:7" x14ac:dyDescent="0.2">
      <c r="A10" s="28" t="s">
        <v>205</v>
      </c>
      <c r="B10">
        <v>18</v>
      </c>
      <c r="E10" t="s">
        <v>205</v>
      </c>
      <c r="F10">
        <v>18</v>
      </c>
      <c r="G10" t="s">
        <v>963</v>
      </c>
    </row>
    <row r="11" spans="1:7" x14ac:dyDescent="0.2">
      <c r="A11" s="28" t="s">
        <v>338</v>
      </c>
      <c r="B11">
        <v>7</v>
      </c>
      <c r="E11" t="s">
        <v>338</v>
      </c>
      <c r="F11">
        <v>7</v>
      </c>
      <c r="G11" t="s">
        <v>732</v>
      </c>
    </row>
    <row r="12" spans="1:7" x14ac:dyDescent="0.2">
      <c r="A12" s="28" t="s">
        <v>262</v>
      </c>
      <c r="B12">
        <v>2</v>
      </c>
      <c r="E12" t="s">
        <v>262</v>
      </c>
      <c r="F12">
        <v>2</v>
      </c>
    </row>
    <row r="13" spans="1:7" x14ac:dyDescent="0.2">
      <c r="A13" s="28" t="s">
        <v>99</v>
      </c>
      <c r="B13">
        <v>5</v>
      </c>
      <c r="E13" t="s">
        <v>99</v>
      </c>
      <c r="F13">
        <v>5</v>
      </c>
      <c r="G13" t="s">
        <v>894</v>
      </c>
    </row>
    <row r="14" spans="1:7" x14ac:dyDescent="0.2">
      <c r="A14" s="28" t="s">
        <v>80</v>
      </c>
      <c r="B14">
        <v>8</v>
      </c>
      <c r="E14" t="s">
        <v>80</v>
      </c>
      <c r="F14">
        <v>8</v>
      </c>
      <c r="G14" t="s">
        <v>894</v>
      </c>
    </row>
    <row r="15" spans="1:7" x14ac:dyDescent="0.2">
      <c r="A15" s="28" t="s">
        <v>351</v>
      </c>
      <c r="B15">
        <v>9</v>
      </c>
      <c r="E15" t="s">
        <v>351</v>
      </c>
      <c r="F15">
        <v>9</v>
      </c>
      <c r="G15" t="s">
        <v>894</v>
      </c>
    </row>
    <row r="16" spans="1:7" x14ac:dyDescent="0.2">
      <c r="A16" s="28" t="s">
        <v>139</v>
      </c>
      <c r="B16">
        <v>5</v>
      </c>
      <c r="E16" t="s">
        <v>139</v>
      </c>
      <c r="F16">
        <v>5</v>
      </c>
      <c r="G16" t="s">
        <v>892</v>
      </c>
    </row>
    <row r="17" spans="1:11" x14ac:dyDescent="0.2">
      <c r="A17" s="28" t="s">
        <v>93</v>
      </c>
      <c r="B17">
        <v>16</v>
      </c>
      <c r="E17" t="s">
        <v>93</v>
      </c>
      <c r="F17">
        <v>16</v>
      </c>
      <c r="G17" t="s">
        <v>894</v>
      </c>
    </row>
    <row r="18" spans="1:11" x14ac:dyDescent="0.2">
      <c r="A18" s="28" t="s">
        <v>720</v>
      </c>
      <c r="B18">
        <v>110</v>
      </c>
      <c r="J18" t="s">
        <v>731</v>
      </c>
      <c r="K18" t="s">
        <v>967</v>
      </c>
    </row>
    <row r="19" spans="1:11" x14ac:dyDescent="0.2">
      <c r="G19" t="str" cm="1">
        <f t="array" ref="G19:G23">_xlfn.UNIQUE(G4:G17)</f>
        <v>L</v>
      </c>
      <c r="H19">
        <f>SUMIFS(F$4:F$17,G$4:G$17,G19)</f>
        <v>49</v>
      </c>
      <c r="J19" t="s">
        <v>966</v>
      </c>
      <c r="K19">
        <v>15</v>
      </c>
    </row>
    <row r="20" spans="1:11" x14ac:dyDescent="0.2">
      <c r="G20" t="str">
        <v>XXXL</v>
      </c>
      <c r="H20">
        <f t="shared" ref="H20:H22" si="0">SUMIFS(F$4:F$17,G$4:G$17,G20)</f>
        <v>29</v>
      </c>
      <c r="J20" t="s">
        <v>964</v>
      </c>
      <c r="K20">
        <v>15</v>
      </c>
    </row>
    <row r="21" spans="1:11" x14ac:dyDescent="0.2">
      <c r="G21" t="str">
        <v>XXL</v>
      </c>
      <c r="H21">
        <f t="shared" si="0"/>
        <v>9</v>
      </c>
      <c r="J21" t="s">
        <v>965</v>
      </c>
      <c r="K21">
        <v>10</v>
      </c>
    </row>
    <row r="22" spans="1:11" x14ac:dyDescent="0.2">
      <c r="G22" t="str">
        <v>XL</v>
      </c>
      <c r="H22">
        <f t="shared" si="0"/>
        <v>16</v>
      </c>
      <c r="J22" t="s">
        <v>892</v>
      </c>
      <c r="K22">
        <v>15</v>
      </c>
    </row>
    <row r="23" spans="1:11" x14ac:dyDescent="0.2">
      <c r="G23">
        <v>0</v>
      </c>
      <c r="J23" t="s">
        <v>894</v>
      </c>
      <c r="K23">
        <v>50</v>
      </c>
    </row>
    <row r="25" spans="1:11" x14ac:dyDescent="0.2">
      <c r="K25" s="44">
        <f>SUM(K19:K23)</f>
        <v>105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0127-1BEA-4C06-902F-942B1071FE80}">
  <dimension ref="A1:A26"/>
  <sheetViews>
    <sheetView topLeftCell="A14" workbookViewId="0">
      <selection activeCell="A26" sqref="A1:A26"/>
    </sheetView>
  </sheetViews>
  <sheetFormatPr defaultRowHeight="15" x14ac:dyDescent="0.2"/>
  <cols>
    <col min="1" max="1" width="26.6328125" customWidth="1"/>
  </cols>
  <sheetData>
    <row r="1" spans="1:1" x14ac:dyDescent="0.2">
      <c r="A1" s="22" t="s">
        <v>7</v>
      </c>
    </row>
    <row r="2" spans="1:1" x14ac:dyDescent="0.2">
      <c r="A2" s="102" t="s">
        <v>15</v>
      </c>
    </row>
    <row r="3" spans="1:1" x14ac:dyDescent="0.2">
      <c r="A3" t="s">
        <v>22</v>
      </c>
    </row>
    <row r="4" spans="1:1" x14ac:dyDescent="0.2">
      <c r="A4" s="22" t="s">
        <v>300</v>
      </c>
    </row>
    <row r="5" spans="1:1" x14ac:dyDescent="0.2">
      <c r="A5" s="22" t="s">
        <v>24</v>
      </c>
    </row>
    <row r="6" spans="1:1" x14ac:dyDescent="0.2">
      <c r="A6" s="102" t="s">
        <v>20</v>
      </c>
    </row>
    <row r="7" spans="1:1" x14ac:dyDescent="0.2">
      <c r="A7" s="102" t="s">
        <v>41</v>
      </c>
    </row>
    <row r="8" spans="1:1" x14ac:dyDescent="0.2">
      <c r="A8" s="22" t="s">
        <v>31</v>
      </c>
    </row>
    <row r="9" spans="1:1" x14ac:dyDescent="0.2">
      <c r="A9" s="102" t="s">
        <v>270</v>
      </c>
    </row>
    <row r="10" spans="1:1" x14ac:dyDescent="0.2">
      <c r="A10" s="22" t="s">
        <v>364</v>
      </c>
    </row>
    <row r="11" spans="1:1" x14ac:dyDescent="0.2">
      <c r="A11" s="22" t="s">
        <v>292</v>
      </c>
    </row>
    <row r="12" spans="1:1" x14ac:dyDescent="0.2">
      <c r="A12" s="102" t="s">
        <v>45</v>
      </c>
    </row>
    <row r="13" spans="1:1" x14ac:dyDescent="0.2">
      <c r="A13" s="102" t="s">
        <v>66</v>
      </c>
    </row>
    <row r="14" spans="1:1" x14ac:dyDescent="0.2">
      <c r="A14" s="22" t="s">
        <v>297</v>
      </c>
    </row>
    <row r="15" spans="1:1" x14ac:dyDescent="0.2">
      <c r="A15" s="102" t="s">
        <v>55</v>
      </c>
    </row>
    <row r="16" spans="1:1" x14ac:dyDescent="0.2">
      <c r="A16" s="22" t="s">
        <v>53</v>
      </c>
    </row>
    <row r="17" spans="1:1" x14ac:dyDescent="0.2">
      <c r="A17" s="102" t="s">
        <v>64</v>
      </c>
    </row>
    <row r="18" spans="1:1" x14ac:dyDescent="0.2">
      <c r="A18" s="102" t="s">
        <v>59</v>
      </c>
    </row>
    <row r="19" spans="1:1" x14ac:dyDescent="0.2">
      <c r="A19" s="22" t="s">
        <v>1</v>
      </c>
    </row>
    <row r="20" spans="1:1" x14ac:dyDescent="0.2">
      <c r="A20" s="102" t="s">
        <v>288</v>
      </c>
    </row>
    <row r="21" spans="1:1" x14ac:dyDescent="0.2">
      <c r="A21" s="22" t="s">
        <v>68</v>
      </c>
    </row>
    <row r="22" spans="1:1" x14ac:dyDescent="0.2">
      <c r="A22" s="102" t="s">
        <v>17</v>
      </c>
    </row>
    <row r="23" spans="1:1" x14ac:dyDescent="0.2">
      <c r="A23" s="22" t="s">
        <v>6</v>
      </c>
    </row>
    <row r="24" spans="1:1" x14ac:dyDescent="0.2">
      <c r="A24" s="102" t="s">
        <v>8</v>
      </c>
    </row>
    <row r="25" spans="1:1" x14ac:dyDescent="0.2">
      <c r="A25" s="22" t="s">
        <v>60</v>
      </c>
    </row>
    <row r="26" spans="1:1" x14ac:dyDescent="0.2">
      <c r="A26" s="10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95BB-0C98-443E-BC6F-897CC5A80C2B}">
  <sheetPr>
    <pageSetUpPr fitToPage="1"/>
  </sheetPr>
  <dimension ref="A1:K125"/>
  <sheetViews>
    <sheetView zoomScaleNormal="100" zoomScaleSheetLayoutView="80" workbookViewId="0">
      <selection activeCell="I25" sqref="I25"/>
    </sheetView>
  </sheetViews>
  <sheetFormatPr defaultRowHeight="15" x14ac:dyDescent="0.2"/>
  <cols>
    <col min="1" max="1" width="26.90234375" style="44" customWidth="1"/>
    <col min="2" max="2" width="10.35546875" customWidth="1"/>
    <col min="3" max="3" width="15.73828125" customWidth="1"/>
    <col min="4" max="4" width="18.0234375" customWidth="1"/>
    <col min="5" max="5" width="42.640625" style="9" customWidth="1"/>
    <col min="6" max="6" width="4.5703125" customWidth="1"/>
    <col min="7" max="7" width="30.8046875" customWidth="1"/>
    <col min="10" max="10" width="15.6015625" customWidth="1"/>
    <col min="11" max="11" width="43.58203125" customWidth="1"/>
  </cols>
  <sheetData>
    <row r="1" spans="1:11" x14ac:dyDescent="0.2">
      <c r="A1" s="31" t="s">
        <v>311</v>
      </c>
      <c r="B1" s="9" t="s">
        <v>74</v>
      </c>
      <c r="C1" s="9" t="s">
        <v>739</v>
      </c>
      <c r="D1" s="9" t="s">
        <v>885</v>
      </c>
      <c r="E1" s="9" t="s">
        <v>886</v>
      </c>
      <c r="G1" s="52" t="s">
        <v>311</v>
      </c>
      <c r="H1" s="53" t="s">
        <v>74</v>
      </c>
      <c r="I1" s="53" t="s">
        <v>739</v>
      </c>
      <c r="J1" s="53" t="s">
        <v>885</v>
      </c>
      <c r="K1" s="51" t="s">
        <v>886</v>
      </c>
    </row>
    <row r="2" spans="1:11" x14ac:dyDescent="0.2">
      <c r="A2" s="48" t="s">
        <v>66</v>
      </c>
      <c r="B2" s="30" t="s">
        <v>205</v>
      </c>
      <c r="C2" s="30" t="s">
        <v>880</v>
      </c>
      <c r="D2" s="30">
        <v>1</v>
      </c>
      <c r="E2" s="30" t="s">
        <v>887</v>
      </c>
      <c r="G2" s="48" t="s">
        <v>294</v>
      </c>
      <c r="H2" s="30" t="s">
        <v>205</v>
      </c>
      <c r="I2" s="30" t="s">
        <v>880</v>
      </c>
      <c r="J2" s="30">
        <v>3</v>
      </c>
      <c r="K2" s="30" t="s">
        <v>889</v>
      </c>
    </row>
    <row r="3" spans="1:11" x14ac:dyDescent="0.2">
      <c r="A3" s="48" t="s">
        <v>60</v>
      </c>
      <c r="B3" s="30" t="s">
        <v>88</v>
      </c>
      <c r="C3" s="30" t="s">
        <v>880</v>
      </c>
      <c r="D3" s="30">
        <v>1</v>
      </c>
      <c r="E3" s="30" t="s">
        <v>887</v>
      </c>
      <c r="G3" s="49" t="s">
        <v>51</v>
      </c>
      <c r="H3" s="50" t="s">
        <v>205</v>
      </c>
      <c r="I3" s="50" t="s">
        <v>880</v>
      </c>
      <c r="J3" s="50">
        <v>3</v>
      </c>
      <c r="K3" s="50" t="s">
        <v>889</v>
      </c>
    </row>
    <row r="4" spans="1:11" x14ac:dyDescent="0.2">
      <c r="A4" s="48" t="s">
        <v>303</v>
      </c>
      <c r="B4" s="30" t="s">
        <v>88</v>
      </c>
      <c r="C4" s="30" t="s">
        <v>880</v>
      </c>
      <c r="D4" s="30">
        <v>1</v>
      </c>
      <c r="E4" s="30" t="s">
        <v>887</v>
      </c>
      <c r="G4" s="48" t="s">
        <v>53</v>
      </c>
      <c r="H4" s="30" t="s">
        <v>205</v>
      </c>
      <c r="I4" s="30" t="s">
        <v>880</v>
      </c>
      <c r="J4" s="30">
        <v>3</v>
      </c>
      <c r="K4" s="30" t="s">
        <v>889</v>
      </c>
    </row>
    <row r="5" spans="1:11" x14ac:dyDescent="0.2">
      <c r="A5" s="48" t="s">
        <v>63</v>
      </c>
      <c r="B5" s="30" t="s">
        <v>205</v>
      </c>
      <c r="C5" s="30" t="s">
        <v>880</v>
      </c>
      <c r="D5" s="30">
        <v>1</v>
      </c>
      <c r="E5" s="30" t="s">
        <v>887</v>
      </c>
      <c r="G5" s="49" t="s">
        <v>67</v>
      </c>
      <c r="H5" s="50" t="s">
        <v>88</v>
      </c>
      <c r="I5" s="50" t="s">
        <v>880</v>
      </c>
      <c r="J5" s="50">
        <v>3</v>
      </c>
      <c r="K5" s="50" t="s">
        <v>889</v>
      </c>
    </row>
    <row r="6" spans="1:11" x14ac:dyDescent="0.2">
      <c r="A6" s="48" t="s">
        <v>292</v>
      </c>
      <c r="B6" s="30" t="s">
        <v>88</v>
      </c>
      <c r="C6" s="30" t="s">
        <v>880</v>
      </c>
      <c r="D6" s="30">
        <v>1</v>
      </c>
      <c r="E6" s="30" t="s">
        <v>887</v>
      </c>
      <c r="G6" s="48" t="s">
        <v>295</v>
      </c>
      <c r="H6" s="30" t="s">
        <v>205</v>
      </c>
      <c r="I6" s="30" t="s">
        <v>880</v>
      </c>
      <c r="J6" s="30">
        <v>3</v>
      </c>
      <c r="K6" s="30" t="s">
        <v>889</v>
      </c>
    </row>
    <row r="7" spans="1:11" x14ac:dyDescent="0.2">
      <c r="A7" s="48" t="s">
        <v>56</v>
      </c>
      <c r="B7" s="30" t="s">
        <v>205</v>
      </c>
      <c r="C7" s="30" t="s">
        <v>880</v>
      </c>
      <c r="D7" s="30">
        <v>1</v>
      </c>
      <c r="E7" s="30" t="s">
        <v>887</v>
      </c>
      <c r="G7" s="49" t="s">
        <v>58</v>
      </c>
      <c r="H7" s="50" t="s">
        <v>205</v>
      </c>
      <c r="I7" s="50" t="s">
        <v>880</v>
      </c>
      <c r="J7" s="50">
        <v>3</v>
      </c>
      <c r="K7" s="50" t="s">
        <v>889</v>
      </c>
    </row>
    <row r="8" spans="1:11" x14ac:dyDescent="0.2">
      <c r="A8" s="48" t="s">
        <v>297</v>
      </c>
      <c r="B8" s="30" t="s">
        <v>205</v>
      </c>
      <c r="C8" s="30" t="s">
        <v>880</v>
      </c>
      <c r="D8" s="30">
        <v>1</v>
      </c>
      <c r="E8" s="30" t="s">
        <v>887</v>
      </c>
      <c r="G8" s="48" t="s">
        <v>64</v>
      </c>
      <c r="H8" s="30" t="s">
        <v>205</v>
      </c>
      <c r="I8" s="30" t="s">
        <v>880</v>
      </c>
      <c r="J8" s="30">
        <v>3</v>
      </c>
      <c r="K8" s="30" t="s">
        <v>889</v>
      </c>
    </row>
    <row r="9" spans="1:11" x14ac:dyDescent="0.2">
      <c r="A9" s="48" t="s">
        <v>61</v>
      </c>
      <c r="B9" s="30" t="s">
        <v>88</v>
      </c>
      <c r="C9" s="30" t="s">
        <v>880</v>
      </c>
      <c r="D9" s="30">
        <v>1</v>
      </c>
      <c r="E9" s="30" t="s">
        <v>887</v>
      </c>
      <c r="G9" s="49" t="s">
        <v>49</v>
      </c>
      <c r="H9" s="50" t="s">
        <v>205</v>
      </c>
      <c r="I9" s="50" t="s">
        <v>880</v>
      </c>
      <c r="J9" s="50">
        <v>3</v>
      </c>
      <c r="K9" s="50" t="s">
        <v>889</v>
      </c>
    </row>
    <row r="10" spans="1:11" x14ac:dyDescent="0.2">
      <c r="A10" s="48" t="s">
        <v>459</v>
      </c>
      <c r="B10" s="30" t="s">
        <v>80</v>
      </c>
      <c r="C10" s="30" t="s">
        <v>878</v>
      </c>
      <c r="D10" s="30">
        <v>1</v>
      </c>
      <c r="E10" s="30" t="s">
        <v>887</v>
      </c>
      <c r="G10" s="48" t="s">
        <v>278</v>
      </c>
      <c r="H10" s="30" t="s">
        <v>425</v>
      </c>
      <c r="I10" s="30" t="s">
        <v>878</v>
      </c>
      <c r="J10" s="30">
        <v>3</v>
      </c>
      <c r="K10" s="30" t="s">
        <v>889</v>
      </c>
    </row>
    <row r="11" spans="1:11" x14ac:dyDescent="0.2">
      <c r="A11" s="48" t="s">
        <v>70</v>
      </c>
      <c r="B11" s="30" t="s">
        <v>139</v>
      </c>
      <c r="C11" s="30" t="s">
        <v>878</v>
      </c>
      <c r="D11" s="30">
        <v>1</v>
      </c>
      <c r="E11" s="30" t="s">
        <v>887</v>
      </c>
      <c r="G11" s="49" t="s">
        <v>34</v>
      </c>
      <c r="H11" s="50" t="s">
        <v>99</v>
      </c>
      <c r="I11" s="50" t="s">
        <v>878</v>
      </c>
      <c r="J11" s="50">
        <v>3</v>
      </c>
      <c r="K11" s="50" t="s">
        <v>889</v>
      </c>
    </row>
    <row r="12" spans="1:11" x14ac:dyDescent="0.2">
      <c r="A12" s="48" t="s">
        <v>3</v>
      </c>
      <c r="B12" s="30" t="s">
        <v>425</v>
      </c>
      <c r="C12" s="30" t="s">
        <v>878</v>
      </c>
      <c r="D12" s="30">
        <v>1</v>
      </c>
      <c r="E12" s="30" t="s">
        <v>887</v>
      </c>
      <c r="G12" s="48" t="s">
        <v>305</v>
      </c>
      <c r="H12" s="30" t="s">
        <v>338</v>
      </c>
      <c r="I12" s="30" t="s">
        <v>878</v>
      </c>
      <c r="J12" s="30">
        <v>3</v>
      </c>
      <c r="K12" s="30" t="s">
        <v>889</v>
      </c>
    </row>
    <row r="13" spans="1:11" x14ac:dyDescent="0.2">
      <c r="A13" s="48" t="s">
        <v>71</v>
      </c>
      <c r="B13" s="30" t="s">
        <v>80</v>
      </c>
      <c r="C13" s="30" t="s">
        <v>878</v>
      </c>
      <c r="D13" s="30">
        <v>1</v>
      </c>
      <c r="E13" s="30" t="s">
        <v>887</v>
      </c>
      <c r="G13" s="49" t="s">
        <v>300</v>
      </c>
      <c r="H13" s="50" t="s">
        <v>139</v>
      </c>
      <c r="I13" s="50" t="s">
        <v>878</v>
      </c>
      <c r="J13" s="50">
        <v>3</v>
      </c>
      <c r="K13" s="50" t="s">
        <v>889</v>
      </c>
    </row>
    <row r="14" spans="1:11" x14ac:dyDescent="0.2">
      <c r="A14" s="48" t="s">
        <v>283</v>
      </c>
      <c r="B14" s="30" t="s">
        <v>80</v>
      </c>
      <c r="C14" s="30" t="s">
        <v>878</v>
      </c>
      <c r="D14" s="30">
        <v>1</v>
      </c>
      <c r="E14" s="30" t="s">
        <v>887</v>
      </c>
      <c r="G14" s="48" t="s">
        <v>32</v>
      </c>
      <c r="H14" s="30" t="s">
        <v>483</v>
      </c>
      <c r="I14" s="30" t="s">
        <v>878</v>
      </c>
      <c r="J14" s="30">
        <v>3</v>
      </c>
      <c r="K14" s="30" t="s">
        <v>889</v>
      </c>
    </row>
    <row r="15" spans="1:11" x14ac:dyDescent="0.2">
      <c r="A15" s="48" t="s">
        <v>46</v>
      </c>
      <c r="B15" s="30" t="s">
        <v>80</v>
      </c>
      <c r="C15" s="30" t="s">
        <v>878</v>
      </c>
      <c r="D15" s="30">
        <v>1</v>
      </c>
      <c r="E15" s="30" t="s">
        <v>887</v>
      </c>
      <c r="G15" s="49" t="s">
        <v>2</v>
      </c>
      <c r="H15" s="50" t="s">
        <v>338</v>
      </c>
      <c r="I15" s="50" t="s">
        <v>878</v>
      </c>
      <c r="J15" s="50">
        <v>3</v>
      </c>
      <c r="K15" s="50" t="s">
        <v>889</v>
      </c>
    </row>
    <row r="16" spans="1:11" x14ac:dyDescent="0.2">
      <c r="A16" s="48" t="s">
        <v>287</v>
      </c>
      <c r="B16" s="30" t="s">
        <v>425</v>
      </c>
      <c r="C16" s="30" t="s">
        <v>878</v>
      </c>
      <c r="D16" s="30">
        <v>1</v>
      </c>
      <c r="E16" s="30" t="s">
        <v>887</v>
      </c>
      <c r="G16" s="48" t="s">
        <v>364</v>
      </c>
      <c r="H16" s="30" t="s">
        <v>99</v>
      </c>
      <c r="I16" s="30" t="s">
        <v>878</v>
      </c>
      <c r="J16" s="30">
        <v>3</v>
      </c>
      <c r="K16" s="30" t="s">
        <v>889</v>
      </c>
    </row>
    <row r="17" spans="1:11" x14ac:dyDescent="0.2">
      <c r="A17" s="48" t="s">
        <v>45</v>
      </c>
      <c r="B17" s="30" t="s">
        <v>338</v>
      </c>
      <c r="C17" s="30" t="s">
        <v>878</v>
      </c>
      <c r="D17" s="30">
        <v>1</v>
      </c>
      <c r="E17" s="30" t="s">
        <v>887</v>
      </c>
      <c r="G17" s="49" t="s">
        <v>270</v>
      </c>
      <c r="H17" s="50" t="s">
        <v>80</v>
      </c>
      <c r="I17" s="50" t="s">
        <v>878</v>
      </c>
      <c r="J17" s="50">
        <v>3</v>
      </c>
      <c r="K17" s="50" t="s">
        <v>889</v>
      </c>
    </row>
    <row r="18" spans="1:11" x14ac:dyDescent="0.2">
      <c r="A18" s="48" t="s">
        <v>282</v>
      </c>
      <c r="B18" s="30" t="s">
        <v>80</v>
      </c>
      <c r="C18" s="30" t="s">
        <v>878</v>
      </c>
      <c r="D18" s="30">
        <v>1</v>
      </c>
      <c r="E18" s="30" t="s">
        <v>887</v>
      </c>
      <c r="G18" s="48" t="s">
        <v>4</v>
      </c>
      <c r="H18" s="30" t="s">
        <v>425</v>
      </c>
      <c r="I18" s="30" t="s">
        <v>878</v>
      </c>
      <c r="J18" s="30">
        <v>3</v>
      </c>
      <c r="K18" s="30" t="s">
        <v>889</v>
      </c>
    </row>
    <row r="19" spans="1:11" x14ac:dyDescent="0.2">
      <c r="A19" s="48" t="s">
        <v>280</v>
      </c>
      <c r="B19" s="30" t="s">
        <v>139</v>
      </c>
      <c r="C19" s="30" t="s">
        <v>878</v>
      </c>
      <c r="D19" s="30">
        <v>1</v>
      </c>
      <c r="E19" s="30" t="s">
        <v>887</v>
      </c>
      <c r="G19" s="49" t="s">
        <v>38</v>
      </c>
      <c r="H19" s="50" t="s">
        <v>338</v>
      </c>
      <c r="I19" s="50" t="s">
        <v>878</v>
      </c>
      <c r="J19" s="50">
        <v>3</v>
      </c>
      <c r="K19" s="50" t="s">
        <v>889</v>
      </c>
    </row>
    <row r="20" spans="1:11" x14ac:dyDescent="0.2">
      <c r="A20" s="48" t="s">
        <v>29</v>
      </c>
      <c r="B20" s="30" t="s">
        <v>338</v>
      </c>
      <c r="C20" s="30" t="s">
        <v>878</v>
      </c>
      <c r="D20" s="30">
        <v>1</v>
      </c>
      <c r="E20" s="30" t="s">
        <v>887</v>
      </c>
      <c r="G20" s="48" t="s">
        <v>0</v>
      </c>
      <c r="H20" s="30" t="s">
        <v>351</v>
      </c>
      <c r="I20" s="30" t="s">
        <v>881</v>
      </c>
      <c r="J20" s="30">
        <v>3</v>
      </c>
      <c r="K20" s="30" t="s">
        <v>889</v>
      </c>
    </row>
    <row r="21" spans="1:11" x14ac:dyDescent="0.2">
      <c r="A21" s="48" t="s">
        <v>24</v>
      </c>
      <c r="B21" s="30" t="s">
        <v>351</v>
      </c>
      <c r="C21" s="30" t="s">
        <v>881</v>
      </c>
      <c r="D21" s="30">
        <v>1</v>
      </c>
      <c r="E21" s="30" t="s">
        <v>887</v>
      </c>
      <c r="G21" s="49" t="s">
        <v>454</v>
      </c>
      <c r="H21" s="50" t="s">
        <v>351</v>
      </c>
      <c r="I21" s="50" t="s">
        <v>881</v>
      </c>
      <c r="J21" s="50">
        <v>3</v>
      </c>
      <c r="K21" s="50" t="s">
        <v>889</v>
      </c>
    </row>
    <row r="22" spans="1:11" x14ac:dyDescent="0.2">
      <c r="A22" s="48" t="s">
        <v>14</v>
      </c>
      <c r="B22" s="30" t="s">
        <v>93</v>
      </c>
      <c r="C22" s="30" t="s">
        <v>881</v>
      </c>
      <c r="D22" s="30">
        <v>1</v>
      </c>
      <c r="E22" s="30" t="s">
        <v>887</v>
      </c>
      <c r="G22" s="48" t="s">
        <v>18</v>
      </c>
      <c r="H22" s="30" t="s">
        <v>351</v>
      </c>
      <c r="I22" s="30" t="s">
        <v>881</v>
      </c>
      <c r="J22" s="30">
        <v>3</v>
      </c>
      <c r="K22" s="30" t="s">
        <v>889</v>
      </c>
    </row>
    <row r="23" spans="1:11" x14ac:dyDescent="0.2">
      <c r="A23" s="48" t="s">
        <v>7</v>
      </c>
      <c r="B23" s="30" t="s">
        <v>93</v>
      </c>
      <c r="C23" s="30" t="s">
        <v>881</v>
      </c>
      <c r="D23" s="30">
        <v>1</v>
      </c>
      <c r="E23" s="30" t="s">
        <v>887</v>
      </c>
      <c r="G23" s="49" t="s">
        <v>6</v>
      </c>
      <c r="H23" s="50" t="s">
        <v>321</v>
      </c>
      <c r="I23" s="50" t="s">
        <v>881</v>
      </c>
      <c r="J23" s="50">
        <v>3</v>
      </c>
      <c r="K23" s="50" t="s">
        <v>889</v>
      </c>
    </row>
    <row r="24" spans="1:11" x14ac:dyDescent="0.2">
      <c r="A24" s="48" t="s">
        <v>13</v>
      </c>
      <c r="B24" s="30" t="s">
        <v>93</v>
      </c>
      <c r="C24" s="30" t="s">
        <v>881</v>
      </c>
      <c r="D24" s="30">
        <v>1</v>
      </c>
      <c r="E24" s="30" t="s">
        <v>887</v>
      </c>
      <c r="G24" s="48" t="s">
        <v>279</v>
      </c>
      <c r="H24" s="30" t="s">
        <v>93</v>
      </c>
      <c r="I24" s="30" t="s">
        <v>881</v>
      </c>
      <c r="J24" s="30">
        <v>3</v>
      </c>
      <c r="K24" s="30" t="s">
        <v>889</v>
      </c>
    </row>
    <row r="25" spans="1:11" x14ac:dyDescent="0.2">
      <c r="A25" s="48" t="s">
        <v>281</v>
      </c>
      <c r="B25" s="30" t="s">
        <v>321</v>
      </c>
      <c r="C25" s="30" t="s">
        <v>881</v>
      </c>
      <c r="D25" s="30">
        <v>1</v>
      </c>
      <c r="E25" s="30" t="s">
        <v>887</v>
      </c>
      <c r="G25" s="49" t="s">
        <v>8</v>
      </c>
      <c r="H25" s="50" t="s">
        <v>321</v>
      </c>
      <c r="I25" s="50" t="s">
        <v>881</v>
      </c>
      <c r="J25" s="50">
        <v>3</v>
      </c>
      <c r="K25" s="50" t="s">
        <v>889</v>
      </c>
    </row>
    <row r="26" spans="1:11" x14ac:dyDescent="0.2">
      <c r="A26" s="48" t="s">
        <v>276</v>
      </c>
      <c r="B26" s="30" t="s">
        <v>93</v>
      </c>
      <c r="C26" s="30" t="s">
        <v>881</v>
      </c>
      <c r="D26" s="30">
        <v>1</v>
      </c>
      <c r="E26" s="30" t="s">
        <v>887</v>
      </c>
      <c r="G26" s="48" t="s">
        <v>290</v>
      </c>
      <c r="H26" s="30" t="s">
        <v>321</v>
      </c>
      <c r="I26" s="30" t="s">
        <v>881</v>
      </c>
      <c r="J26" s="30">
        <v>3</v>
      </c>
      <c r="K26" s="30" t="s">
        <v>889</v>
      </c>
    </row>
    <row r="27" spans="1:11" x14ac:dyDescent="0.2">
      <c r="A27" s="48" t="s">
        <v>11</v>
      </c>
      <c r="B27" s="30" t="s">
        <v>351</v>
      </c>
      <c r="C27" s="30" t="s">
        <v>881</v>
      </c>
      <c r="D27" s="30">
        <v>1</v>
      </c>
      <c r="E27" s="30" t="s">
        <v>887</v>
      </c>
      <c r="G27" s="49" t="s">
        <v>299</v>
      </c>
      <c r="H27" s="50" t="s">
        <v>93</v>
      </c>
      <c r="I27" s="50" t="s">
        <v>881</v>
      </c>
      <c r="J27" s="50">
        <v>3</v>
      </c>
      <c r="K27" s="50" t="s">
        <v>889</v>
      </c>
    </row>
    <row r="28" spans="1:11" x14ac:dyDescent="0.2">
      <c r="A28" s="48" t="s">
        <v>15</v>
      </c>
      <c r="B28" s="30" t="s">
        <v>93</v>
      </c>
      <c r="C28" s="30" t="s">
        <v>881</v>
      </c>
      <c r="D28" s="30">
        <v>1</v>
      </c>
      <c r="E28" s="30" t="s">
        <v>887</v>
      </c>
      <c r="G28" s="48" t="s">
        <v>26</v>
      </c>
      <c r="H28" s="30" t="s">
        <v>321</v>
      </c>
      <c r="I28" s="30" t="s">
        <v>881</v>
      </c>
      <c r="J28" s="30">
        <v>3</v>
      </c>
      <c r="K28" s="30" t="s">
        <v>889</v>
      </c>
    </row>
    <row r="29" spans="1:11" x14ac:dyDescent="0.2">
      <c r="A29" s="48" t="s">
        <v>27</v>
      </c>
      <c r="B29" s="30" t="s">
        <v>351</v>
      </c>
      <c r="C29" s="30" t="s">
        <v>881</v>
      </c>
      <c r="D29" s="30">
        <v>1</v>
      </c>
      <c r="E29" s="30" t="s">
        <v>887</v>
      </c>
      <c r="G29" s="49" t="s">
        <v>291</v>
      </c>
      <c r="H29" s="50" t="s">
        <v>205</v>
      </c>
      <c r="I29" s="50" t="s">
        <v>880</v>
      </c>
      <c r="J29" s="50">
        <v>4</v>
      </c>
      <c r="K29" s="50" t="s">
        <v>890</v>
      </c>
    </row>
    <row r="30" spans="1:11" x14ac:dyDescent="0.2">
      <c r="A30" s="48" t="s">
        <v>304</v>
      </c>
      <c r="B30" s="30" t="s">
        <v>88</v>
      </c>
      <c r="C30" s="30" t="s">
        <v>880</v>
      </c>
      <c r="D30" s="30">
        <v>2</v>
      </c>
      <c r="E30" s="30" t="s">
        <v>888</v>
      </c>
      <c r="G30" s="48" t="s">
        <v>296</v>
      </c>
      <c r="H30" s="30" t="s">
        <v>205</v>
      </c>
      <c r="I30" s="30" t="s">
        <v>880</v>
      </c>
      <c r="J30" s="30">
        <v>4</v>
      </c>
      <c r="K30" s="30" t="s">
        <v>890</v>
      </c>
    </row>
    <row r="31" spans="1:11" x14ac:dyDescent="0.2">
      <c r="A31" s="48" t="s">
        <v>50</v>
      </c>
      <c r="B31" s="30" t="s">
        <v>205</v>
      </c>
      <c r="C31" s="30" t="s">
        <v>880</v>
      </c>
      <c r="D31" s="30">
        <v>2</v>
      </c>
      <c r="E31" s="30" t="s">
        <v>888</v>
      </c>
      <c r="G31" s="49" t="s">
        <v>54</v>
      </c>
      <c r="H31" s="50" t="s">
        <v>205</v>
      </c>
      <c r="I31" s="50" t="s">
        <v>880</v>
      </c>
      <c r="J31" s="50">
        <v>4</v>
      </c>
      <c r="K31" s="50" t="s">
        <v>890</v>
      </c>
    </row>
    <row r="32" spans="1:11" x14ac:dyDescent="0.2">
      <c r="A32" s="48" t="s">
        <v>293</v>
      </c>
      <c r="B32" s="30" t="s">
        <v>205</v>
      </c>
      <c r="C32" s="30" t="s">
        <v>880</v>
      </c>
      <c r="D32" s="30">
        <v>2</v>
      </c>
      <c r="E32" s="30" t="s">
        <v>888</v>
      </c>
      <c r="G32" s="48" t="s">
        <v>569</v>
      </c>
      <c r="H32" s="30" t="s">
        <v>88</v>
      </c>
      <c r="I32" s="30" t="s">
        <v>880</v>
      </c>
      <c r="J32" s="30">
        <v>4</v>
      </c>
      <c r="K32" s="30" t="s">
        <v>890</v>
      </c>
    </row>
    <row r="33" spans="1:11" x14ac:dyDescent="0.2">
      <c r="A33" s="48" t="s">
        <v>302</v>
      </c>
      <c r="B33" s="30" t="s">
        <v>88</v>
      </c>
      <c r="C33" s="30" t="s">
        <v>880</v>
      </c>
      <c r="D33" s="30">
        <v>2</v>
      </c>
      <c r="E33" s="30" t="s">
        <v>888</v>
      </c>
      <c r="G33" s="49" t="s">
        <v>72</v>
      </c>
      <c r="H33" s="50" t="s">
        <v>88</v>
      </c>
      <c r="I33" s="50" t="s">
        <v>880</v>
      </c>
      <c r="J33" s="50">
        <v>4</v>
      </c>
      <c r="K33" s="50" t="s">
        <v>890</v>
      </c>
    </row>
    <row r="34" spans="1:11" x14ac:dyDescent="0.2">
      <c r="A34" s="48" t="s">
        <v>57</v>
      </c>
      <c r="B34" s="30" t="s">
        <v>205</v>
      </c>
      <c r="C34" s="30" t="s">
        <v>880</v>
      </c>
      <c r="D34" s="30">
        <v>2</v>
      </c>
      <c r="E34" s="30" t="s">
        <v>888</v>
      </c>
      <c r="G34" s="48" t="s">
        <v>274</v>
      </c>
      <c r="H34" s="30" t="s">
        <v>88</v>
      </c>
      <c r="I34" s="30" t="s">
        <v>880</v>
      </c>
      <c r="J34" s="30">
        <v>4</v>
      </c>
      <c r="K34" s="30" t="s">
        <v>890</v>
      </c>
    </row>
    <row r="35" spans="1:11" x14ac:dyDescent="0.2">
      <c r="A35" s="48" t="s">
        <v>65</v>
      </c>
      <c r="B35" s="30" t="s">
        <v>88</v>
      </c>
      <c r="C35" s="30" t="s">
        <v>880</v>
      </c>
      <c r="D35" s="30">
        <v>2</v>
      </c>
      <c r="E35" s="30" t="s">
        <v>888</v>
      </c>
      <c r="G35" s="49" t="s">
        <v>59</v>
      </c>
      <c r="H35" s="50" t="s">
        <v>88</v>
      </c>
      <c r="I35" s="50" t="s">
        <v>880</v>
      </c>
      <c r="J35" s="50">
        <v>4</v>
      </c>
      <c r="K35" s="50" t="s">
        <v>890</v>
      </c>
    </row>
    <row r="36" spans="1:11" x14ac:dyDescent="0.2">
      <c r="A36" s="48" t="s">
        <v>52</v>
      </c>
      <c r="B36" s="30" t="s">
        <v>205</v>
      </c>
      <c r="C36" s="30" t="s">
        <v>880</v>
      </c>
      <c r="D36" s="30">
        <v>2</v>
      </c>
      <c r="E36" s="30" t="s">
        <v>888</v>
      </c>
      <c r="G36" s="48" t="s">
        <v>1</v>
      </c>
      <c r="H36" s="30" t="s">
        <v>88</v>
      </c>
      <c r="I36" s="30" t="s">
        <v>880</v>
      </c>
      <c r="J36" s="30">
        <v>4</v>
      </c>
      <c r="K36" s="30" t="s">
        <v>890</v>
      </c>
    </row>
    <row r="37" spans="1:11" x14ac:dyDescent="0.2">
      <c r="A37" s="48" t="s">
        <v>55</v>
      </c>
      <c r="B37" s="30" t="s">
        <v>205</v>
      </c>
      <c r="C37" s="30" t="s">
        <v>880</v>
      </c>
      <c r="D37" s="30">
        <v>2</v>
      </c>
      <c r="E37" s="30" t="s">
        <v>888</v>
      </c>
      <c r="G37" s="49" t="s">
        <v>301</v>
      </c>
      <c r="H37" s="50" t="s">
        <v>139</v>
      </c>
      <c r="I37" s="50" t="s">
        <v>878</v>
      </c>
      <c r="J37" s="50">
        <v>4</v>
      </c>
      <c r="K37" s="50" t="s">
        <v>890</v>
      </c>
    </row>
    <row r="38" spans="1:11" x14ac:dyDescent="0.2">
      <c r="A38" s="48" t="s">
        <v>285</v>
      </c>
      <c r="B38" s="30" t="s">
        <v>425</v>
      </c>
      <c r="C38" s="30" t="s">
        <v>878</v>
      </c>
      <c r="D38" s="30">
        <v>2</v>
      </c>
      <c r="E38" s="30" t="s">
        <v>888</v>
      </c>
      <c r="G38" s="48" t="s">
        <v>28</v>
      </c>
      <c r="H38" s="30" t="s">
        <v>338</v>
      </c>
      <c r="I38" s="30" t="s">
        <v>878</v>
      </c>
      <c r="J38" s="30">
        <v>4</v>
      </c>
      <c r="K38" s="30" t="s">
        <v>890</v>
      </c>
    </row>
    <row r="39" spans="1:11" x14ac:dyDescent="0.2">
      <c r="A39" s="48" t="s">
        <v>41</v>
      </c>
      <c r="B39" s="30" t="s">
        <v>80</v>
      </c>
      <c r="C39" s="30" t="s">
        <v>878</v>
      </c>
      <c r="D39" s="30">
        <v>2</v>
      </c>
      <c r="E39" s="30" t="s">
        <v>888</v>
      </c>
      <c r="G39" s="49" t="s">
        <v>30</v>
      </c>
      <c r="H39" s="50" t="s">
        <v>99</v>
      </c>
      <c r="I39" s="50" t="s">
        <v>878</v>
      </c>
      <c r="J39" s="50">
        <v>4</v>
      </c>
      <c r="K39" s="50" t="s">
        <v>890</v>
      </c>
    </row>
    <row r="40" spans="1:11" x14ac:dyDescent="0.2">
      <c r="A40" s="48" t="s">
        <v>47</v>
      </c>
      <c r="B40" s="30" t="s">
        <v>425</v>
      </c>
      <c r="C40" s="30" t="s">
        <v>878</v>
      </c>
      <c r="D40" s="30">
        <v>2</v>
      </c>
      <c r="E40" s="30" t="s">
        <v>888</v>
      </c>
      <c r="G40" s="48" t="s">
        <v>44</v>
      </c>
      <c r="H40" s="30" t="s">
        <v>139</v>
      </c>
      <c r="I40" s="30" t="s">
        <v>878</v>
      </c>
      <c r="J40" s="30">
        <v>4</v>
      </c>
      <c r="K40" s="30" t="s">
        <v>890</v>
      </c>
    </row>
    <row r="41" spans="1:11" x14ac:dyDescent="0.2">
      <c r="A41" s="48" t="s">
        <v>471</v>
      </c>
      <c r="B41" s="30" t="s">
        <v>425</v>
      </c>
      <c r="C41" s="30" t="s">
        <v>878</v>
      </c>
      <c r="D41" s="30">
        <v>2</v>
      </c>
      <c r="E41" s="30" t="s">
        <v>888</v>
      </c>
      <c r="G41" s="49" t="s">
        <v>578</v>
      </c>
      <c r="H41" s="50" t="s">
        <v>80</v>
      </c>
      <c r="I41" s="50" t="s">
        <v>878</v>
      </c>
      <c r="J41" s="50">
        <v>4</v>
      </c>
      <c r="K41" s="50" t="s">
        <v>890</v>
      </c>
    </row>
    <row r="42" spans="1:11" x14ac:dyDescent="0.2">
      <c r="A42" s="48" t="s">
        <v>289</v>
      </c>
      <c r="B42" s="30" t="s">
        <v>338</v>
      </c>
      <c r="C42" s="30" t="s">
        <v>878</v>
      </c>
      <c r="D42" s="30">
        <v>2</v>
      </c>
      <c r="E42" s="30" t="s">
        <v>888</v>
      </c>
      <c r="G42" s="46" t="s">
        <v>875</v>
      </c>
      <c r="H42" s="30" t="s">
        <v>871</v>
      </c>
      <c r="I42" s="30" t="s">
        <v>878</v>
      </c>
      <c r="J42" s="30">
        <v>4</v>
      </c>
      <c r="K42" s="30" t="s">
        <v>890</v>
      </c>
    </row>
    <row r="43" spans="1:11" x14ac:dyDescent="0.2">
      <c r="A43" s="48" t="s">
        <v>334</v>
      </c>
      <c r="B43" s="30" t="s">
        <v>80</v>
      </c>
      <c r="C43" s="30" t="s">
        <v>878</v>
      </c>
      <c r="D43" s="30">
        <v>2</v>
      </c>
      <c r="E43" s="30" t="s">
        <v>888</v>
      </c>
      <c r="G43" s="49" t="s">
        <v>407</v>
      </c>
      <c r="H43" s="50" t="s">
        <v>93</v>
      </c>
      <c r="I43" s="50" t="s">
        <v>881</v>
      </c>
      <c r="J43" s="50">
        <v>4</v>
      </c>
      <c r="K43" s="50" t="s">
        <v>890</v>
      </c>
    </row>
    <row r="44" spans="1:11" x14ac:dyDescent="0.2">
      <c r="A44" s="48" t="s">
        <v>357</v>
      </c>
      <c r="B44" s="30" t="s">
        <v>80</v>
      </c>
      <c r="C44" s="30" t="s">
        <v>878</v>
      </c>
      <c r="D44" s="30">
        <v>2</v>
      </c>
      <c r="E44" s="30" t="s">
        <v>888</v>
      </c>
      <c r="G44" s="48" t="s">
        <v>371</v>
      </c>
      <c r="H44" s="30" t="s">
        <v>321</v>
      </c>
      <c r="I44" s="30" t="s">
        <v>881</v>
      </c>
      <c r="J44" s="30">
        <v>4</v>
      </c>
      <c r="K44" s="30" t="s">
        <v>890</v>
      </c>
    </row>
    <row r="45" spans="1:11" x14ac:dyDescent="0.2">
      <c r="A45" s="48" t="s">
        <v>68</v>
      </c>
      <c r="B45" s="30" t="s">
        <v>425</v>
      </c>
      <c r="C45" s="30" t="s">
        <v>878</v>
      </c>
      <c r="D45" s="30">
        <v>2</v>
      </c>
      <c r="E45" s="30" t="s">
        <v>888</v>
      </c>
      <c r="G45" s="49" t="s">
        <v>69</v>
      </c>
      <c r="H45" s="50" t="s">
        <v>351</v>
      </c>
      <c r="I45" s="50" t="s">
        <v>881</v>
      </c>
      <c r="J45" s="50">
        <v>4</v>
      </c>
      <c r="K45" s="50" t="s">
        <v>890</v>
      </c>
    </row>
    <row r="46" spans="1:11" x14ac:dyDescent="0.2">
      <c r="A46" s="48" t="s">
        <v>35</v>
      </c>
      <c r="B46" s="30" t="s">
        <v>139</v>
      </c>
      <c r="C46" s="30" t="s">
        <v>878</v>
      </c>
      <c r="D46" s="30">
        <v>2</v>
      </c>
      <c r="E46" s="30" t="s">
        <v>888</v>
      </c>
      <c r="G46" s="48" t="s">
        <v>25</v>
      </c>
      <c r="H46" s="30" t="s">
        <v>321</v>
      </c>
      <c r="I46" s="30" t="s">
        <v>881</v>
      </c>
      <c r="J46" s="30">
        <v>4</v>
      </c>
      <c r="K46" s="30" t="s">
        <v>890</v>
      </c>
    </row>
    <row r="47" spans="1:11" x14ac:dyDescent="0.2">
      <c r="A47" s="48" t="s">
        <v>463</v>
      </c>
      <c r="B47" s="30" t="s">
        <v>871</v>
      </c>
      <c r="C47" s="30" t="s">
        <v>878</v>
      </c>
      <c r="D47" s="30">
        <v>2</v>
      </c>
      <c r="E47" s="30" t="s">
        <v>888</v>
      </c>
      <c r="G47" s="49" t="s">
        <v>16</v>
      </c>
      <c r="H47" s="50" t="s">
        <v>93</v>
      </c>
      <c r="I47" s="50" t="s">
        <v>881</v>
      </c>
      <c r="J47" s="50">
        <v>4</v>
      </c>
      <c r="K47" s="50" t="s">
        <v>890</v>
      </c>
    </row>
    <row r="48" spans="1:11" x14ac:dyDescent="0.2">
      <c r="A48" s="48" t="s">
        <v>298</v>
      </c>
      <c r="B48" s="30" t="s">
        <v>93</v>
      </c>
      <c r="C48" s="30" t="s">
        <v>881</v>
      </c>
      <c r="D48" s="30">
        <v>2</v>
      </c>
      <c r="E48" s="30" t="s">
        <v>888</v>
      </c>
      <c r="G48" s="48" t="s">
        <v>23</v>
      </c>
      <c r="H48" s="30" t="s">
        <v>351</v>
      </c>
      <c r="I48" s="30" t="s">
        <v>881</v>
      </c>
      <c r="J48" s="30">
        <v>4</v>
      </c>
      <c r="K48" s="30" t="s">
        <v>890</v>
      </c>
    </row>
    <row r="49" spans="1:11" x14ac:dyDescent="0.2">
      <c r="A49" s="48" t="s">
        <v>19</v>
      </c>
      <c r="B49" s="30" t="s">
        <v>93</v>
      </c>
      <c r="C49" s="30" t="s">
        <v>881</v>
      </c>
      <c r="D49" s="30">
        <v>2</v>
      </c>
      <c r="E49" s="30" t="s">
        <v>888</v>
      </c>
      <c r="G49" s="49" t="s">
        <v>10</v>
      </c>
      <c r="H49" s="50" t="s">
        <v>93</v>
      </c>
      <c r="I49" s="50" t="s">
        <v>881</v>
      </c>
      <c r="J49" s="50">
        <v>4</v>
      </c>
      <c r="K49" s="50" t="s">
        <v>890</v>
      </c>
    </row>
    <row r="50" spans="1:11" x14ac:dyDescent="0.2">
      <c r="A50" s="48" t="s">
        <v>12</v>
      </c>
      <c r="B50" s="30" t="s">
        <v>93</v>
      </c>
      <c r="C50" s="30" t="s">
        <v>881</v>
      </c>
      <c r="D50" s="30">
        <v>2</v>
      </c>
      <c r="E50" s="30" t="s">
        <v>888</v>
      </c>
      <c r="G50" s="48" t="s">
        <v>271</v>
      </c>
      <c r="H50" s="30" t="s">
        <v>93</v>
      </c>
      <c r="I50" s="30" t="s">
        <v>881</v>
      </c>
      <c r="J50" s="30">
        <v>4</v>
      </c>
      <c r="K50" s="30" t="s">
        <v>890</v>
      </c>
    </row>
    <row r="51" spans="1:11" x14ac:dyDescent="0.2">
      <c r="A51" s="48" t="s">
        <v>273</v>
      </c>
      <c r="B51" s="30" t="s">
        <v>351</v>
      </c>
      <c r="C51" s="30" t="s">
        <v>881</v>
      </c>
      <c r="D51" s="30">
        <v>2</v>
      </c>
      <c r="E51" s="30" t="s">
        <v>888</v>
      </c>
      <c r="G51" s="49" t="s">
        <v>43</v>
      </c>
      <c r="H51" s="50" t="s">
        <v>202</v>
      </c>
      <c r="I51" s="50" t="s">
        <v>882</v>
      </c>
      <c r="J51" s="50">
        <v>4</v>
      </c>
      <c r="K51" s="50" t="s">
        <v>890</v>
      </c>
    </row>
    <row r="52" spans="1:11" x14ac:dyDescent="0.2">
      <c r="A52" s="48" t="s">
        <v>20</v>
      </c>
      <c r="B52" s="30" t="s">
        <v>351</v>
      </c>
      <c r="C52" s="30" t="s">
        <v>881</v>
      </c>
      <c r="D52" s="30">
        <v>2</v>
      </c>
      <c r="E52" s="30" t="s">
        <v>888</v>
      </c>
      <c r="G52" s="48" t="s">
        <v>36</v>
      </c>
      <c r="H52" s="30" t="s">
        <v>188</v>
      </c>
      <c r="I52" s="30" t="s">
        <v>882</v>
      </c>
      <c r="J52" s="30">
        <v>4</v>
      </c>
      <c r="K52" s="30" t="s">
        <v>890</v>
      </c>
    </row>
    <row r="53" spans="1:11" x14ac:dyDescent="0.2">
      <c r="A53" s="48" t="s">
        <v>275</v>
      </c>
      <c r="B53" s="30" t="s">
        <v>351</v>
      </c>
      <c r="C53" s="30" t="s">
        <v>881</v>
      </c>
      <c r="D53" s="30">
        <v>2</v>
      </c>
      <c r="E53" s="30" t="s">
        <v>888</v>
      </c>
      <c r="G53" s="49" t="s">
        <v>37</v>
      </c>
      <c r="H53" s="50" t="s">
        <v>188</v>
      </c>
      <c r="I53" s="50" t="s">
        <v>882</v>
      </c>
      <c r="J53" s="50">
        <v>4</v>
      </c>
      <c r="K53" s="50" t="s">
        <v>890</v>
      </c>
    </row>
    <row r="54" spans="1:11" x14ac:dyDescent="0.2">
      <c r="A54" s="48" t="s">
        <v>9</v>
      </c>
      <c r="B54" s="30" t="s">
        <v>321</v>
      </c>
      <c r="C54" s="30" t="s">
        <v>881</v>
      </c>
      <c r="D54" s="30">
        <v>2</v>
      </c>
      <c r="E54" s="30" t="s">
        <v>888</v>
      </c>
      <c r="G54" s="48" t="s">
        <v>40</v>
      </c>
      <c r="H54" s="30" t="s">
        <v>262</v>
      </c>
      <c r="I54" s="30" t="s">
        <v>882</v>
      </c>
      <c r="J54" s="30">
        <v>4</v>
      </c>
      <c r="K54" s="30" t="s">
        <v>890</v>
      </c>
    </row>
    <row r="55" spans="1:11" x14ac:dyDescent="0.2">
      <c r="A55" s="48" t="s">
        <v>320</v>
      </c>
      <c r="B55" s="30" t="s">
        <v>321</v>
      </c>
      <c r="C55" s="30" t="s">
        <v>881</v>
      </c>
      <c r="D55" s="30">
        <v>2</v>
      </c>
      <c r="E55" s="30" t="s">
        <v>888</v>
      </c>
      <c r="G55" s="49" t="s">
        <v>39</v>
      </c>
      <c r="H55" s="50" t="s">
        <v>202</v>
      </c>
      <c r="I55" s="50" t="s">
        <v>882</v>
      </c>
      <c r="J55" s="50">
        <v>4</v>
      </c>
      <c r="K55" s="50" t="s">
        <v>890</v>
      </c>
    </row>
    <row r="56" spans="1:11" x14ac:dyDescent="0.2">
      <c r="A56" s="48" t="s">
        <v>22</v>
      </c>
      <c r="B56" s="30" t="s">
        <v>93</v>
      </c>
      <c r="C56" s="30" t="s">
        <v>881</v>
      </c>
      <c r="D56" s="30">
        <v>2</v>
      </c>
      <c r="E56" s="30" t="s">
        <v>888</v>
      </c>
      <c r="G56" s="48" t="s">
        <v>42</v>
      </c>
      <c r="H56" s="30" t="s">
        <v>262</v>
      </c>
      <c r="I56" s="30" t="s">
        <v>882</v>
      </c>
      <c r="J56" s="30">
        <v>4</v>
      </c>
      <c r="K56" s="30" t="s">
        <v>890</v>
      </c>
    </row>
    <row r="57" spans="1:11" x14ac:dyDescent="0.2">
      <c r="A57" s="48" t="s">
        <v>294</v>
      </c>
      <c r="B57" s="30" t="s">
        <v>205</v>
      </c>
      <c r="C57" s="30" t="s">
        <v>880</v>
      </c>
      <c r="D57" s="30">
        <v>3</v>
      </c>
      <c r="E57" s="30" t="s">
        <v>889</v>
      </c>
    </row>
    <row r="58" spans="1:11" x14ac:dyDescent="0.2">
      <c r="A58" s="48" t="s">
        <v>51</v>
      </c>
      <c r="B58" s="30" t="s">
        <v>205</v>
      </c>
      <c r="C58" s="30" t="s">
        <v>880</v>
      </c>
      <c r="D58" s="30">
        <v>3</v>
      </c>
      <c r="E58" s="30" t="s">
        <v>889</v>
      </c>
    </row>
    <row r="59" spans="1:11" x14ac:dyDescent="0.2">
      <c r="A59" s="48" t="s">
        <v>53</v>
      </c>
      <c r="B59" s="30" t="s">
        <v>205</v>
      </c>
      <c r="C59" s="30" t="s">
        <v>880</v>
      </c>
      <c r="D59" s="30">
        <v>3</v>
      </c>
      <c r="E59" s="30" t="s">
        <v>889</v>
      </c>
    </row>
    <row r="60" spans="1:11" x14ac:dyDescent="0.2">
      <c r="A60" s="48" t="s">
        <v>67</v>
      </c>
      <c r="B60" s="30" t="s">
        <v>88</v>
      </c>
      <c r="C60" s="30" t="s">
        <v>880</v>
      </c>
      <c r="D60" s="30">
        <v>3</v>
      </c>
      <c r="E60" s="30" t="s">
        <v>889</v>
      </c>
    </row>
    <row r="61" spans="1:11" x14ac:dyDescent="0.2">
      <c r="A61" s="48" t="s">
        <v>295</v>
      </c>
      <c r="B61" s="30" t="s">
        <v>205</v>
      </c>
      <c r="C61" s="30" t="s">
        <v>880</v>
      </c>
      <c r="D61" s="30">
        <v>3</v>
      </c>
      <c r="E61" s="30" t="s">
        <v>889</v>
      </c>
    </row>
    <row r="62" spans="1:11" x14ac:dyDescent="0.2">
      <c r="A62" s="48" t="s">
        <v>58</v>
      </c>
      <c r="B62" s="30" t="s">
        <v>205</v>
      </c>
      <c r="C62" s="30" t="s">
        <v>880</v>
      </c>
      <c r="D62" s="30">
        <v>3</v>
      </c>
      <c r="E62" s="30" t="s">
        <v>889</v>
      </c>
    </row>
    <row r="63" spans="1:11" x14ac:dyDescent="0.2">
      <c r="A63" s="48" t="s">
        <v>64</v>
      </c>
      <c r="B63" s="30" t="s">
        <v>205</v>
      </c>
      <c r="C63" s="30" t="s">
        <v>880</v>
      </c>
      <c r="D63" s="30">
        <v>3</v>
      </c>
      <c r="E63" s="30" t="s">
        <v>889</v>
      </c>
    </row>
    <row r="64" spans="1:11" x14ac:dyDescent="0.2">
      <c r="A64" s="48" t="s">
        <v>49</v>
      </c>
      <c r="B64" s="30" t="s">
        <v>205</v>
      </c>
      <c r="C64" s="30" t="s">
        <v>880</v>
      </c>
      <c r="D64" s="30">
        <v>3</v>
      </c>
      <c r="E64" s="30" t="s">
        <v>889</v>
      </c>
    </row>
    <row r="65" spans="1:5" x14ac:dyDescent="0.2">
      <c r="A65" s="48" t="s">
        <v>278</v>
      </c>
      <c r="B65" s="30" t="s">
        <v>425</v>
      </c>
      <c r="C65" s="30" t="s">
        <v>878</v>
      </c>
      <c r="D65" s="30">
        <v>3</v>
      </c>
      <c r="E65" s="30" t="s">
        <v>889</v>
      </c>
    </row>
    <row r="66" spans="1:5" x14ac:dyDescent="0.2">
      <c r="A66" s="48" t="s">
        <v>34</v>
      </c>
      <c r="B66" s="30" t="s">
        <v>99</v>
      </c>
      <c r="C66" s="30" t="s">
        <v>878</v>
      </c>
      <c r="D66" s="30">
        <v>3</v>
      </c>
      <c r="E66" s="30" t="s">
        <v>889</v>
      </c>
    </row>
    <row r="67" spans="1:5" x14ac:dyDescent="0.2">
      <c r="A67" s="48" t="s">
        <v>305</v>
      </c>
      <c r="B67" s="30" t="s">
        <v>338</v>
      </c>
      <c r="C67" s="30" t="s">
        <v>878</v>
      </c>
      <c r="D67" s="30">
        <v>3</v>
      </c>
      <c r="E67" s="30" t="s">
        <v>889</v>
      </c>
    </row>
    <row r="68" spans="1:5" x14ac:dyDescent="0.2">
      <c r="A68" s="48" t="s">
        <v>300</v>
      </c>
      <c r="B68" s="30" t="s">
        <v>139</v>
      </c>
      <c r="C68" s="30" t="s">
        <v>878</v>
      </c>
      <c r="D68" s="30">
        <v>3</v>
      </c>
      <c r="E68" s="30" t="s">
        <v>889</v>
      </c>
    </row>
    <row r="69" spans="1:5" x14ac:dyDescent="0.2">
      <c r="A69" s="48" t="s">
        <v>32</v>
      </c>
      <c r="B69" s="30" t="s">
        <v>483</v>
      </c>
      <c r="C69" s="30" t="s">
        <v>878</v>
      </c>
      <c r="D69" s="30">
        <v>3</v>
      </c>
      <c r="E69" s="30" t="s">
        <v>889</v>
      </c>
    </row>
    <row r="70" spans="1:5" x14ac:dyDescent="0.2">
      <c r="A70" s="48" t="s">
        <v>2</v>
      </c>
      <c r="B70" s="30" t="s">
        <v>338</v>
      </c>
      <c r="C70" s="30" t="s">
        <v>878</v>
      </c>
      <c r="D70" s="30">
        <v>3</v>
      </c>
      <c r="E70" s="30" t="s">
        <v>889</v>
      </c>
    </row>
    <row r="71" spans="1:5" x14ac:dyDescent="0.2">
      <c r="A71" s="48" t="s">
        <v>364</v>
      </c>
      <c r="B71" s="30" t="s">
        <v>99</v>
      </c>
      <c r="C71" s="30" t="s">
        <v>878</v>
      </c>
      <c r="D71" s="30">
        <v>3</v>
      </c>
      <c r="E71" s="30" t="s">
        <v>889</v>
      </c>
    </row>
    <row r="72" spans="1:5" x14ac:dyDescent="0.2">
      <c r="A72" s="48" t="s">
        <v>270</v>
      </c>
      <c r="B72" s="30" t="s">
        <v>80</v>
      </c>
      <c r="C72" s="30" t="s">
        <v>878</v>
      </c>
      <c r="D72" s="30">
        <v>3</v>
      </c>
      <c r="E72" s="30" t="s">
        <v>889</v>
      </c>
    </row>
    <row r="73" spans="1:5" x14ac:dyDescent="0.2">
      <c r="A73" s="48" t="s">
        <v>4</v>
      </c>
      <c r="B73" s="30" t="s">
        <v>425</v>
      </c>
      <c r="C73" s="30" t="s">
        <v>878</v>
      </c>
      <c r="D73" s="30">
        <v>3</v>
      </c>
      <c r="E73" s="30" t="s">
        <v>889</v>
      </c>
    </row>
    <row r="74" spans="1:5" x14ac:dyDescent="0.2">
      <c r="A74" s="48" t="s">
        <v>38</v>
      </c>
      <c r="B74" s="30" t="s">
        <v>338</v>
      </c>
      <c r="C74" s="30" t="s">
        <v>878</v>
      </c>
      <c r="D74" s="30">
        <v>3</v>
      </c>
      <c r="E74" s="30" t="s">
        <v>889</v>
      </c>
    </row>
    <row r="75" spans="1:5" x14ac:dyDescent="0.2">
      <c r="A75" s="48" t="s">
        <v>0</v>
      </c>
      <c r="B75" s="30" t="s">
        <v>351</v>
      </c>
      <c r="C75" s="30" t="s">
        <v>881</v>
      </c>
      <c r="D75" s="30">
        <v>3</v>
      </c>
      <c r="E75" s="30" t="s">
        <v>889</v>
      </c>
    </row>
    <row r="76" spans="1:5" x14ac:dyDescent="0.2">
      <c r="A76" s="48" t="s">
        <v>454</v>
      </c>
      <c r="B76" s="30" t="s">
        <v>351</v>
      </c>
      <c r="C76" s="30" t="s">
        <v>881</v>
      </c>
      <c r="D76" s="30">
        <v>3</v>
      </c>
      <c r="E76" s="30" t="s">
        <v>889</v>
      </c>
    </row>
    <row r="77" spans="1:5" x14ac:dyDescent="0.2">
      <c r="A77" s="48" t="s">
        <v>18</v>
      </c>
      <c r="B77" s="30" t="s">
        <v>351</v>
      </c>
      <c r="C77" s="30" t="s">
        <v>881</v>
      </c>
      <c r="D77" s="30">
        <v>3</v>
      </c>
      <c r="E77" s="30" t="s">
        <v>889</v>
      </c>
    </row>
    <row r="78" spans="1:5" x14ac:dyDescent="0.2">
      <c r="A78" s="48" t="s">
        <v>6</v>
      </c>
      <c r="B78" s="30" t="s">
        <v>321</v>
      </c>
      <c r="C78" s="30" t="s">
        <v>881</v>
      </c>
      <c r="D78" s="30">
        <v>3</v>
      </c>
      <c r="E78" s="30" t="s">
        <v>889</v>
      </c>
    </row>
    <row r="79" spans="1:5" x14ac:dyDescent="0.2">
      <c r="A79" s="48" t="s">
        <v>279</v>
      </c>
      <c r="B79" s="30" t="s">
        <v>93</v>
      </c>
      <c r="C79" s="30" t="s">
        <v>881</v>
      </c>
      <c r="D79" s="30">
        <v>3</v>
      </c>
      <c r="E79" s="30" t="s">
        <v>889</v>
      </c>
    </row>
    <row r="80" spans="1:5" x14ac:dyDescent="0.2">
      <c r="A80" s="48" t="s">
        <v>8</v>
      </c>
      <c r="B80" s="30" t="s">
        <v>321</v>
      </c>
      <c r="C80" s="30" t="s">
        <v>881</v>
      </c>
      <c r="D80" s="30">
        <v>3</v>
      </c>
      <c r="E80" s="30" t="s">
        <v>889</v>
      </c>
    </row>
    <row r="81" spans="1:5" x14ac:dyDescent="0.2">
      <c r="A81" s="48" t="s">
        <v>290</v>
      </c>
      <c r="B81" s="30" t="s">
        <v>321</v>
      </c>
      <c r="C81" s="30" t="s">
        <v>881</v>
      </c>
      <c r="D81" s="30">
        <v>3</v>
      </c>
      <c r="E81" s="30" t="s">
        <v>889</v>
      </c>
    </row>
    <row r="82" spans="1:5" x14ac:dyDescent="0.2">
      <c r="A82" s="48" t="s">
        <v>299</v>
      </c>
      <c r="B82" s="30" t="s">
        <v>93</v>
      </c>
      <c r="C82" s="30" t="s">
        <v>881</v>
      </c>
      <c r="D82" s="30">
        <v>3</v>
      </c>
      <c r="E82" s="30" t="s">
        <v>889</v>
      </c>
    </row>
    <row r="83" spans="1:5" x14ac:dyDescent="0.2">
      <c r="A83" s="48" t="s">
        <v>26</v>
      </c>
      <c r="B83" s="30" t="s">
        <v>321</v>
      </c>
      <c r="C83" s="30" t="s">
        <v>881</v>
      </c>
      <c r="D83" s="30">
        <v>3</v>
      </c>
      <c r="E83" s="30" t="s">
        <v>889</v>
      </c>
    </row>
    <row r="84" spans="1:5" x14ac:dyDescent="0.2">
      <c r="A84" s="48" t="s">
        <v>291</v>
      </c>
      <c r="B84" s="30" t="s">
        <v>205</v>
      </c>
      <c r="C84" s="30" t="s">
        <v>880</v>
      </c>
      <c r="D84" s="30">
        <v>4</v>
      </c>
      <c r="E84" s="30" t="s">
        <v>890</v>
      </c>
    </row>
    <row r="85" spans="1:5" x14ac:dyDescent="0.2">
      <c r="A85" s="48" t="s">
        <v>296</v>
      </c>
      <c r="B85" s="30" t="s">
        <v>205</v>
      </c>
      <c r="C85" s="30" t="s">
        <v>880</v>
      </c>
      <c r="D85" s="30">
        <v>4</v>
      </c>
      <c r="E85" s="30" t="s">
        <v>890</v>
      </c>
    </row>
    <row r="86" spans="1:5" x14ac:dyDescent="0.2">
      <c r="A86" s="48" t="s">
        <v>54</v>
      </c>
      <c r="B86" s="30" t="s">
        <v>205</v>
      </c>
      <c r="C86" s="30" t="s">
        <v>880</v>
      </c>
      <c r="D86" s="30">
        <v>4</v>
      </c>
      <c r="E86" s="30" t="s">
        <v>890</v>
      </c>
    </row>
    <row r="87" spans="1:5" x14ac:dyDescent="0.2">
      <c r="A87" s="48" t="s">
        <v>569</v>
      </c>
      <c r="B87" s="30" t="s">
        <v>88</v>
      </c>
      <c r="C87" s="30" t="s">
        <v>880</v>
      </c>
      <c r="D87" s="30">
        <v>4</v>
      </c>
      <c r="E87" s="30" t="s">
        <v>890</v>
      </c>
    </row>
    <row r="88" spans="1:5" x14ac:dyDescent="0.2">
      <c r="A88" s="48" t="s">
        <v>72</v>
      </c>
      <c r="B88" s="30" t="s">
        <v>88</v>
      </c>
      <c r="C88" s="30" t="s">
        <v>880</v>
      </c>
      <c r="D88" s="30">
        <v>4</v>
      </c>
      <c r="E88" s="30" t="s">
        <v>890</v>
      </c>
    </row>
    <row r="89" spans="1:5" x14ac:dyDescent="0.2">
      <c r="A89" s="48" t="s">
        <v>274</v>
      </c>
      <c r="B89" s="30" t="s">
        <v>88</v>
      </c>
      <c r="C89" s="30" t="s">
        <v>880</v>
      </c>
      <c r="D89" s="30">
        <v>4</v>
      </c>
      <c r="E89" s="30" t="s">
        <v>890</v>
      </c>
    </row>
    <row r="90" spans="1:5" x14ac:dyDescent="0.2">
      <c r="A90" s="48" t="s">
        <v>59</v>
      </c>
      <c r="B90" s="30" t="s">
        <v>88</v>
      </c>
      <c r="C90" s="30" t="s">
        <v>880</v>
      </c>
      <c r="D90" s="30">
        <v>4</v>
      </c>
      <c r="E90" s="30" t="s">
        <v>890</v>
      </c>
    </row>
    <row r="91" spans="1:5" x14ac:dyDescent="0.2">
      <c r="A91" s="48" t="s">
        <v>1</v>
      </c>
      <c r="B91" s="30" t="s">
        <v>88</v>
      </c>
      <c r="C91" s="30" t="s">
        <v>880</v>
      </c>
      <c r="D91" s="30">
        <v>4</v>
      </c>
      <c r="E91" s="30" t="s">
        <v>890</v>
      </c>
    </row>
    <row r="92" spans="1:5" x14ac:dyDescent="0.2">
      <c r="A92" s="48" t="s">
        <v>301</v>
      </c>
      <c r="B92" s="30" t="s">
        <v>139</v>
      </c>
      <c r="C92" s="30" t="s">
        <v>878</v>
      </c>
      <c r="D92" s="30">
        <v>4</v>
      </c>
      <c r="E92" s="30" t="s">
        <v>890</v>
      </c>
    </row>
    <row r="93" spans="1:5" x14ac:dyDescent="0.2">
      <c r="A93" s="48" t="s">
        <v>28</v>
      </c>
      <c r="B93" s="30" t="s">
        <v>338</v>
      </c>
      <c r="C93" s="30" t="s">
        <v>878</v>
      </c>
      <c r="D93" s="30">
        <v>4</v>
      </c>
      <c r="E93" s="30" t="s">
        <v>890</v>
      </c>
    </row>
    <row r="94" spans="1:5" x14ac:dyDescent="0.2">
      <c r="A94" s="48" t="s">
        <v>30</v>
      </c>
      <c r="B94" s="30" t="s">
        <v>99</v>
      </c>
      <c r="C94" s="30" t="s">
        <v>878</v>
      </c>
      <c r="D94" s="30">
        <v>4</v>
      </c>
      <c r="E94" s="30" t="s">
        <v>890</v>
      </c>
    </row>
    <row r="95" spans="1:5" x14ac:dyDescent="0.2">
      <c r="A95" s="48" t="s">
        <v>44</v>
      </c>
      <c r="B95" s="30" t="s">
        <v>139</v>
      </c>
      <c r="C95" s="30" t="s">
        <v>878</v>
      </c>
      <c r="D95" s="30">
        <v>4</v>
      </c>
      <c r="E95" s="30" t="s">
        <v>890</v>
      </c>
    </row>
    <row r="96" spans="1:5" x14ac:dyDescent="0.2">
      <c r="A96" s="48" t="s">
        <v>578</v>
      </c>
      <c r="B96" s="30" t="s">
        <v>80</v>
      </c>
      <c r="C96" s="30" t="s">
        <v>878</v>
      </c>
      <c r="D96" s="30">
        <v>4</v>
      </c>
      <c r="E96" s="30" t="s">
        <v>890</v>
      </c>
    </row>
    <row r="97" spans="1:5" x14ac:dyDescent="0.2">
      <c r="A97" s="46" t="s">
        <v>875</v>
      </c>
      <c r="B97" s="30" t="s">
        <v>871</v>
      </c>
      <c r="C97" s="30" t="s">
        <v>878</v>
      </c>
      <c r="D97" s="30">
        <v>4</v>
      </c>
      <c r="E97" s="30" t="s">
        <v>890</v>
      </c>
    </row>
    <row r="98" spans="1:5" x14ac:dyDescent="0.2">
      <c r="A98" s="48" t="s">
        <v>407</v>
      </c>
      <c r="B98" s="30" t="s">
        <v>93</v>
      </c>
      <c r="C98" s="30" t="s">
        <v>881</v>
      </c>
      <c r="D98" s="30">
        <v>4</v>
      </c>
      <c r="E98" s="30" t="s">
        <v>890</v>
      </c>
    </row>
    <row r="99" spans="1:5" x14ac:dyDescent="0.2">
      <c r="A99" s="48" t="s">
        <v>371</v>
      </c>
      <c r="B99" s="30" t="s">
        <v>321</v>
      </c>
      <c r="C99" s="30" t="s">
        <v>881</v>
      </c>
      <c r="D99" s="30">
        <v>4</v>
      </c>
      <c r="E99" s="30" t="s">
        <v>890</v>
      </c>
    </row>
    <row r="100" spans="1:5" x14ac:dyDescent="0.2">
      <c r="A100" s="48" t="s">
        <v>69</v>
      </c>
      <c r="B100" s="30" t="s">
        <v>351</v>
      </c>
      <c r="C100" s="30" t="s">
        <v>881</v>
      </c>
      <c r="D100" s="30">
        <v>4</v>
      </c>
      <c r="E100" s="30" t="s">
        <v>890</v>
      </c>
    </row>
    <row r="101" spans="1:5" x14ac:dyDescent="0.2">
      <c r="A101" s="48" t="s">
        <v>25</v>
      </c>
      <c r="B101" s="30" t="s">
        <v>321</v>
      </c>
      <c r="C101" s="30" t="s">
        <v>881</v>
      </c>
      <c r="D101" s="30">
        <v>4</v>
      </c>
      <c r="E101" s="30" t="s">
        <v>890</v>
      </c>
    </row>
    <row r="102" spans="1:5" x14ac:dyDescent="0.2">
      <c r="A102" s="48" t="s">
        <v>16</v>
      </c>
      <c r="B102" s="30" t="s">
        <v>93</v>
      </c>
      <c r="C102" s="30" t="s">
        <v>881</v>
      </c>
      <c r="D102" s="30">
        <v>4</v>
      </c>
      <c r="E102" s="30" t="s">
        <v>890</v>
      </c>
    </row>
    <row r="103" spans="1:5" x14ac:dyDescent="0.2">
      <c r="A103" s="48" t="s">
        <v>23</v>
      </c>
      <c r="B103" s="30" t="s">
        <v>351</v>
      </c>
      <c r="C103" s="30" t="s">
        <v>881</v>
      </c>
      <c r="D103" s="30">
        <v>4</v>
      </c>
      <c r="E103" s="30" t="s">
        <v>890</v>
      </c>
    </row>
    <row r="104" spans="1:5" x14ac:dyDescent="0.2">
      <c r="A104" s="48" t="s">
        <v>10</v>
      </c>
      <c r="B104" s="30" t="s">
        <v>93</v>
      </c>
      <c r="C104" s="30" t="s">
        <v>881</v>
      </c>
      <c r="D104" s="30">
        <v>4</v>
      </c>
      <c r="E104" s="30" t="s">
        <v>890</v>
      </c>
    </row>
    <row r="105" spans="1:5" x14ac:dyDescent="0.2">
      <c r="A105" s="48" t="s">
        <v>271</v>
      </c>
      <c r="B105" s="30" t="s">
        <v>93</v>
      </c>
      <c r="C105" s="30" t="s">
        <v>881</v>
      </c>
      <c r="D105" s="30">
        <v>4</v>
      </c>
      <c r="E105" s="30" t="s">
        <v>890</v>
      </c>
    </row>
    <row r="106" spans="1:5" x14ac:dyDescent="0.2">
      <c r="A106" s="48" t="s">
        <v>43</v>
      </c>
      <c r="B106" s="30" t="s">
        <v>202</v>
      </c>
      <c r="C106" s="30" t="s">
        <v>882</v>
      </c>
      <c r="D106" s="30">
        <v>4</v>
      </c>
      <c r="E106" s="30" t="s">
        <v>890</v>
      </c>
    </row>
    <row r="107" spans="1:5" x14ac:dyDescent="0.2">
      <c r="A107" s="48" t="s">
        <v>36</v>
      </c>
      <c r="B107" s="30" t="s">
        <v>188</v>
      </c>
      <c r="C107" s="30" t="s">
        <v>882</v>
      </c>
      <c r="D107" s="30">
        <v>4</v>
      </c>
      <c r="E107" s="30" t="s">
        <v>890</v>
      </c>
    </row>
    <row r="108" spans="1:5" x14ac:dyDescent="0.2">
      <c r="A108" s="48" t="s">
        <v>37</v>
      </c>
      <c r="B108" s="30" t="s">
        <v>188</v>
      </c>
      <c r="C108" s="30" t="s">
        <v>882</v>
      </c>
      <c r="D108" s="30">
        <v>4</v>
      </c>
      <c r="E108" s="30" t="s">
        <v>890</v>
      </c>
    </row>
    <row r="109" spans="1:5" x14ac:dyDescent="0.2">
      <c r="A109" s="48" t="s">
        <v>40</v>
      </c>
      <c r="B109" s="30" t="s">
        <v>262</v>
      </c>
      <c r="C109" s="30" t="s">
        <v>882</v>
      </c>
      <c r="D109" s="30">
        <v>4</v>
      </c>
      <c r="E109" s="30" t="s">
        <v>890</v>
      </c>
    </row>
    <row r="110" spans="1:5" x14ac:dyDescent="0.2">
      <c r="A110" s="48" t="s">
        <v>39</v>
      </c>
      <c r="B110" s="30" t="s">
        <v>202</v>
      </c>
      <c r="C110" s="30" t="s">
        <v>882</v>
      </c>
      <c r="D110" s="30">
        <v>4</v>
      </c>
      <c r="E110" s="30" t="s">
        <v>890</v>
      </c>
    </row>
    <row r="111" spans="1:5" x14ac:dyDescent="0.2">
      <c r="A111" s="48" t="s">
        <v>42</v>
      </c>
      <c r="B111" s="30" t="s">
        <v>262</v>
      </c>
      <c r="C111" s="30" t="s">
        <v>882</v>
      </c>
      <c r="D111" s="30">
        <v>4</v>
      </c>
      <c r="E111" s="30" t="s">
        <v>890</v>
      </c>
    </row>
    <row r="115" spans="3:7" x14ac:dyDescent="0.2">
      <c r="C115" t="str" cm="1">
        <f t="array" ref="C115:C118">_xlfn.UNIQUE(Table3[Position Class])</f>
        <v>Bigs</v>
      </c>
      <c r="D115">
        <f>COUNTIF(Table3[Position Class],C115)</f>
        <v>32</v>
      </c>
      <c r="E115" s="9">
        <f>ROUNDUP(D115/4,0)</f>
        <v>8</v>
      </c>
    </row>
    <row r="116" spans="3:7" x14ac:dyDescent="0.2">
      <c r="C116" t="str">
        <v>Mids</v>
      </c>
      <c r="D116">
        <f>COUNTIF(Table3[Position Class],C116)</f>
        <v>37</v>
      </c>
      <c r="E116" s="9">
        <f t="shared" ref="E116:E118" si="0">ROUNDUP(D116/4,0)</f>
        <v>10</v>
      </c>
    </row>
    <row r="117" spans="3:7" x14ac:dyDescent="0.2">
      <c r="C117" t="str">
        <v>Skills</v>
      </c>
      <c r="D117">
        <f>COUNTIF(Table3[Position Class],C117)</f>
        <v>35</v>
      </c>
      <c r="E117" s="9">
        <f t="shared" si="0"/>
        <v>9</v>
      </c>
    </row>
    <row r="118" spans="3:7" x14ac:dyDescent="0.2">
      <c r="C118" t="str">
        <v>Spec</v>
      </c>
      <c r="D118">
        <f>COUNTIF(Table3[Position Class],C118)</f>
        <v>6</v>
      </c>
      <c r="E118" s="9">
        <f t="shared" si="0"/>
        <v>2</v>
      </c>
    </row>
    <row r="121" spans="3:7" x14ac:dyDescent="0.2">
      <c r="C121" s="47" t="s">
        <v>883</v>
      </c>
      <c r="D121" s="47" t="s">
        <v>884</v>
      </c>
      <c r="E121" s="47" t="s">
        <v>880</v>
      </c>
      <c r="F121" s="47" t="s">
        <v>878</v>
      </c>
      <c r="G121" s="47" t="s">
        <v>881</v>
      </c>
    </row>
    <row r="122" spans="3:7" x14ac:dyDescent="0.2">
      <c r="C122" s="45">
        <v>1</v>
      </c>
      <c r="D122" s="46">
        <f>COUNTIF(Table3[Tues 7/22 Group],C122)</f>
        <v>28</v>
      </c>
      <c r="E122" s="30">
        <f>COUNTIFS(Table3[Tues 7/22 Group],$C122,Table3[Position Class],E$121)</f>
        <v>8</v>
      </c>
      <c r="F122" s="30">
        <f>COUNTIFS(Table3[Tues 7/22 Group],$C122,Table3[Position Class],F$121)</f>
        <v>11</v>
      </c>
      <c r="G122" s="30">
        <f>COUNTIFS(Table3[Tues 7/22 Group],$C122,Table3[Position Class],G$121)</f>
        <v>9</v>
      </c>
    </row>
    <row r="123" spans="3:7" x14ac:dyDescent="0.2">
      <c r="C123" s="45">
        <v>2</v>
      </c>
      <c r="D123" s="46">
        <f>COUNTIF(Table3[Tues 7/22 Group],C123)</f>
        <v>27</v>
      </c>
      <c r="E123" s="30">
        <f>COUNTIFS(Table3[Tues 7/22 Group],$C123,Table3[Position Class],E$121)</f>
        <v>8</v>
      </c>
      <c r="F123" s="30">
        <f>COUNTIFS(Table3[Tues 7/22 Group],$C123,Table3[Position Class],F$121)</f>
        <v>10</v>
      </c>
      <c r="G123" s="30">
        <f>COUNTIFS(Table3[Tues 7/22 Group],$C123,Table3[Position Class],G$121)</f>
        <v>9</v>
      </c>
    </row>
    <row r="124" spans="3:7" x14ac:dyDescent="0.2">
      <c r="C124" s="45">
        <v>3</v>
      </c>
      <c r="D124" s="46">
        <f>COUNTIF(Table3[Tues 7/22 Group],C124)</f>
        <v>27</v>
      </c>
      <c r="E124" s="30">
        <f>COUNTIFS(Table3[Tues 7/22 Group],$C124,Table3[Position Class],E$121)</f>
        <v>8</v>
      </c>
      <c r="F124" s="30">
        <f>COUNTIFS(Table3[Tues 7/22 Group],$C124,Table3[Position Class],F$121)</f>
        <v>10</v>
      </c>
      <c r="G124" s="30">
        <f>COUNTIFS(Table3[Tues 7/22 Group],$C124,Table3[Position Class],G$121)</f>
        <v>9</v>
      </c>
    </row>
    <row r="125" spans="3:7" x14ac:dyDescent="0.2">
      <c r="C125" s="45">
        <v>4</v>
      </c>
      <c r="D125" s="46">
        <f>COUNTIF(Table3[Tues 7/22 Group],C125)</f>
        <v>28</v>
      </c>
      <c r="E125" s="30">
        <f>COUNTIFS(Table3[Tues 7/22 Group],$C125,Table3[Position Class],E$121)</f>
        <v>8</v>
      </c>
      <c r="F125" s="30">
        <f>COUNTIFS(Table3[Tues 7/22 Group],$C125,Table3[Position Class],F$121)</f>
        <v>6</v>
      </c>
      <c r="G125" s="30">
        <f>COUNTIFS(Table3[Tues 7/22 Group],$C125,Table3[Position Class],G$121)</f>
        <v>8</v>
      </c>
    </row>
  </sheetData>
  <pageMargins left="0.25" right="0.25" top="0.75" bottom="0.75" header="0.3" footer="0.3"/>
  <pageSetup scale="5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5F9D-86B6-4615-9C72-828456B9DB02}">
  <dimension ref="A1:F115"/>
  <sheetViews>
    <sheetView topLeftCell="A3" workbookViewId="0">
      <selection activeCell="J97" sqref="J97"/>
    </sheetView>
  </sheetViews>
  <sheetFormatPr defaultRowHeight="15" x14ac:dyDescent="0.2"/>
  <cols>
    <col min="1" max="1" width="21.65625" customWidth="1"/>
    <col min="3" max="3" width="18.4296875" customWidth="1"/>
    <col min="5" max="5" width="19.1015625" customWidth="1"/>
    <col min="6" max="6" width="21.1171875" customWidth="1"/>
  </cols>
  <sheetData>
    <row r="1" spans="1:6" ht="16.5" x14ac:dyDescent="0.25">
      <c r="A1" s="106" t="s">
        <v>73</v>
      </c>
      <c r="B1" s="106"/>
      <c r="C1" s="106" t="s">
        <v>308</v>
      </c>
      <c r="D1" s="106"/>
      <c r="E1" s="106" t="s">
        <v>587</v>
      </c>
      <c r="F1" s="106"/>
    </row>
    <row r="2" spans="1:6" ht="16.5" x14ac:dyDescent="0.25">
      <c r="A2" s="12" t="s">
        <v>584</v>
      </c>
      <c r="B2" s="12" t="s">
        <v>585</v>
      </c>
      <c r="C2" s="12" t="s">
        <v>308</v>
      </c>
      <c r="D2" s="12" t="s">
        <v>586</v>
      </c>
      <c r="E2" s="14" t="s">
        <v>590</v>
      </c>
      <c r="F2" s="14" t="s">
        <v>591</v>
      </c>
    </row>
    <row r="3" spans="1:6" x14ac:dyDescent="0.2">
      <c r="A3" s="13" t="s">
        <v>36</v>
      </c>
      <c r="B3" s="10">
        <f>IF(COUNTIF('Online Roster'!$B$3:$B$111,Vendors!A3)=0,COUNTIF('Online Roster'!$K$3:$K$111,Vendors!A3),COUNTIF('Online Roster'!$B$3:$B$111,Vendors!A3))</f>
        <v>1</v>
      </c>
      <c r="C3" s="13" t="s">
        <v>36</v>
      </c>
      <c r="D3" s="10">
        <f>IF(COUNTIF('Online Roster'!$B$3:$B$111,Vendors!C3)=0,COUNTIF('Online Roster'!$K$3:$K$111,Vendors!C3),COUNTIF('Online Roster'!$B$3:$B$111,Vendors!C3))</f>
        <v>1</v>
      </c>
    </row>
    <row r="4" spans="1:6" x14ac:dyDescent="0.2">
      <c r="A4" s="13" t="s">
        <v>25</v>
      </c>
      <c r="B4" s="10">
        <f>IF(COUNTIF('Online Roster'!$B$3:$B$111,Vendors!A4)=0,COUNTIF('Online Roster'!$K$3:$K$111,Vendors!A4),COUNTIF('Online Roster'!$B$3:$B$111,Vendors!A4))</f>
        <v>1</v>
      </c>
      <c r="C4" s="13" t="s">
        <v>25</v>
      </c>
      <c r="D4" s="10">
        <f>IF(COUNTIF('Online Roster'!$B$3:$B$111,Vendors!C4)=0,COUNTIF('Online Roster'!$K$3:$K$111,Vendors!C4),COUNTIF('Online Roster'!$B$3:$B$111,Vendors!C4))</f>
        <v>1</v>
      </c>
    </row>
    <row r="5" spans="1:6" x14ac:dyDescent="0.2">
      <c r="A5" s="13" t="s">
        <v>55</v>
      </c>
      <c r="B5" s="10">
        <f>IF(COUNTIF('Online Roster'!$B$3:$B$111,Vendors!A5)=0,COUNTIF('Online Roster'!$K$3:$K$111,Vendors!A5),COUNTIF('Online Roster'!$B$3:$B$111,Vendors!A5))</f>
        <v>1</v>
      </c>
      <c r="C5" s="13" t="s">
        <v>55</v>
      </c>
      <c r="D5" s="10">
        <f>IF(COUNTIF('Online Roster'!$B$3:$B$111,Vendors!C5)=0,COUNTIF('Online Roster'!$K$3:$K$111,Vendors!C5),COUNTIF('Online Roster'!$B$3:$B$111,Vendors!C5))</f>
        <v>1</v>
      </c>
    </row>
    <row r="6" spans="1:6" x14ac:dyDescent="0.2">
      <c r="A6" s="13" t="s">
        <v>46</v>
      </c>
      <c r="B6" s="10">
        <f>IF(COUNTIF('Online Roster'!$B$3:$B$111,Vendors!A6)=0,COUNTIF('Online Roster'!$K$3:$K$111,Vendors!A6),COUNTIF('Online Roster'!$B$3:$B$111,Vendors!A6))</f>
        <v>1</v>
      </c>
      <c r="C6" s="13" t="s">
        <v>46</v>
      </c>
      <c r="D6" s="10">
        <f>IF(COUNTIF('Online Roster'!$B$3:$B$111,Vendors!C6)=0,COUNTIF('Online Roster'!$K$3:$K$111,Vendors!C6),COUNTIF('Online Roster'!$B$3:$B$111,Vendors!C6))</f>
        <v>1</v>
      </c>
    </row>
    <row r="7" spans="1:6" x14ac:dyDescent="0.2">
      <c r="A7" s="13" t="s">
        <v>4</v>
      </c>
      <c r="B7" s="10">
        <f>IF(COUNTIF('Online Roster'!$B$3:$B$111,Vendors!A7)=0,COUNTIF('Online Roster'!$K$3:$K$111,Vendors!A7),COUNTIF('Online Roster'!$B$3:$B$111,Vendors!A7))</f>
        <v>1</v>
      </c>
      <c r="C7" s="13" t="s">
        <v>4</v>
      </c>
      <c r="D7" s="10">
        <f>IF(COUNTIF('Online Roster'!$B$3:$B$111,Vendors!C7)=0,COUNTIF('Online Roster'!$K$3:$K$111,Vendors!C7),COUNTIF('Online Roster'!$B$3:$B$111,Vendors!C7))</f>
        <v>1</v>
      </c>
    </row>
    <row r="8" spans="1:6" x14ac:dyDescent="0.2">
      <c r="A8" s="13" t="s">
        <v>0</v>
      </c>
      <c r="B8" s="10">
        <f>IF(COUNTIF('Online Roster'!$B$3:$B$111,Vendors!A8)=0,COUNTIF('Online Roster'!$K$3:$K$111,Vendors!A8),COUNTIF('Online Roster'!$B$3:$B$111,Vendors!A8))</f>
        <v>1</v>
      </c>
      <c r="C8" s="13" t="s">
        <v>0</v>
      </c>
      <c r="D8" s="10">
        <f>IF(COUNTIF('Online Roster'!$B$3:$B$111,Vendors!C8)=0,COUNTIF('Online Roster'!$K$3:$K$111,Vendors!C8),COUNTIF('Online Roster'!$B$3:$B$111,Vendors!C8))</f>
        <v>1</v>
      </c>
    </row>
    <row r="9" spans="1:6" x14ac:dyDescent="0.2">
      <c r="A9" s="13" t="s">
        <v>301</v>
      </c>
      <c r="B9" s="10">
        <f>IF(COUNTIF('Online Roster'!$B$3:$B$111,Vendors!A9)=0,COUNTIF('Online Roster'!$K$3:$K$111,Vendors!A9),COUNTIF('Online Roster'!$B$3:$B$111,Vendors!A9))</f>
        <v>1</v>
      </c>
      <c r="C9" s="13" t="s">
        <v>301</v>
      </c>
      <c r="D9" s="10">
        <f>IF(COUNTIF('Online Roster'!$B$3:$B$111,Vendors!C9)=0,COUNTIF('Online Roster'!$K$3:$K$111,Vendors!C9),COUNTIF('Online Roster'!$B$3:$B$111,Vendors!C9))</f>
        <v>1</v>
      </c>
    </row>
    <row r="10" spans="1:6" x14ac:dyDescent="0.2">
      <c r="A10" s="13" t="s">
        <v>49</v>
      </c>
      <c r="B10" s="10">
        <f>IF(COUNTIF('Online Roster'!$B$3:$B$111,Vendors!A10)=0,COUNTIF('Online Roster'!$K$3:$K$111,Vendors!A10),COUNTIF('Online Roster'!$B$3:$B$111,Vendors!A10))</f>
        <v>1</v>
      </c>
      <c r="C10" s="13" t="s">
        <v>49</v>
      </c>
      <c r="D10" s="10">
        <f>IF(COUNTIF('Online Roster'!$B$3:$B$111,Vendors!C10)=0,COUNTIF('Online Roster'!$K$3:$K$111,Vendors!C10),COUNTIF('Online Roster'!$B$3:$B$111,Vendors!C10))</f>
        <v>1</v>
      </c>
    </row>
    <row r="11" spans="1:6" x14ac:dyDescent="0.2">
      <c r="A11" s="13" t="s">
        <v>38</v>
      </c>
      <c r="B11" s="10">
        <f>IF(COUNTIF('Online Roster'!$B$3:$B$111,Vendors!A11)=0,COUNTIF('Online Roster'!$K$3:$K$111,Vendors!A11),COUNTIF('Online Roster'!$B$3:$B$111,Vendors!A11))</f>
        <v>1</v>
      </c>
      <c r="C11" s="13" t="s">
        <v>38</v>
      </c>
      <c r="D11" s="10">
        <f>IF(COUNTIF('Online Roster'!$B$3:$B$111,Vendors!C11)=0,COUNTIF('Online Roster'!$K$3:$K$111,Vendors!C11),COUNTIF('Online Roster'!$B$3:$B$111,Vendors!C11))</f>
        <v>1</v>
      </c>
    </row>
    <row r="12" spans="1:6" x14ac:dyDescent="0.2">
      <c r="A12" s="13" t="s">
        <v>72</v>
      </c>
      <c r="B12" s="10">
        <f>IF(COUNTIF('Online Roster'!$B$3:$B$111,Vendors!A12)=0,COUNTIF('Online Roster'!$K$3:$K$111,Vendors!A12),COUNTIF('Online Roster'!$B$3:$B$111,Vendors!A12))</f>
        <v>1</v>
      </c>
      <c r="C12" s="13" t="s">
        <v>72</v>
      </c>
      <c r="D12" s="10">
        <f>IF(COUNTIF('Online Roster'!$B$3:$B$111,Vendors!C12)=0,COUNTIF('Online Roster'!$K$3:$K$111,Vendors!C12),COUNTIF('Online Roster'!$B$3:$B$111,Vendors!C12))</f>
        <v>1</v>
      </c>
    </row>
    <row r="13" spans="1:6" x14ac:dyDescent="0.2">
      <c r="A13" s="13" t="s">
        <v>54</v>
      </c>
      <c r="B13" s="10">
        <f>IF(COUNTIF('Online Roster'!$B$3:$B$111,Vendors!A13)=0,COUNTIF('Online Roster'!$K$3:$K$111,Vendors!A13),COUNTIF('Online Roster'!$B$3:$B$111,Vendors!A13))</f>
        <v>1</v>
      </c>
      <c r="C13" s="13" t="s">
        <v>54</v>
      </c>
      <c r="D13" s="10">
        <f>IF(COUNTIF('Online Roster'!$B$3:$B$111,Vendors!C13)=0,COUNTIF('Online Roster'!$K$3:$K$111,Vendors!C13),COUNTIF('Online Roster'!$B$3:$B$111,Vendors!C13))</f>
        <v>1</v>
      </c>
    </row>
    <row r="14" spans="1:6" x14ac:dyDescent="0.2">
      <c r="A14" s="13" t="s">
        <v>63</v>
      </c>
      <c r="B14" s="10">
        <f>IF(COUNTIF('Online Roster'!$B$3:$B$111,Vendors!A14)=0,COUNTIF('Online Roster'!$K$3:$K$111,Vendors!A14),COUNTIF('Online Roster'!$B$3:$B$111,Vendors!A14))</f>
        <v>1</v>
      </c>
      <c r="C14" s="13" t="s">
        <v>63</v>
      </c>
      <c r="D14" s="10">
        <f>IF(COUNTIF('Online Roster'!$B$3:$B$111,Vendors!C14)=0,COUNTIF('Online Roster'!$K$3:$K$111,Vendors!C14),COUNTIF('Online Roster'!$B$3:$B$111,Vendors!C14))</f>
        <v>1</v>
      </c>
    </row>
    <row r="15" spans="1:6" x14ac:dyDescent="0.2">
      <c r="A15" s="13" t="s">
        <v>40</v>
      </c>
      <c r="B15" s="10">
        <f>IF(COUNTIF('Online Roster'!$B$3:$B$111,Vendors!A15)=0,COUNTIF('Online Roster'!$K$3:$K$111,Vendors!A15),COUNTIF('Online Roster'!$B$3:$B$111,Vendors!A15))</f>
        <v>1</v>
      </c>
      <c r="C15" s="13" t="s">
        <v>40</v>
      </c>
      <c r="D15" s="10">
        <f>IF(COUNTIF('Online Roster'!$B$3:$B$111,Vendors!C15)=0,COUNTIF('Online Roster'!$K$3:$K$111,Vendors!C15),COUNTIF('Online Roster'!$B$3:$B$111,Vendors!C15))</f>
        <v>1</v>
      </c>
    </row>
    <row r="16" spans="1:6" x14ac:dyDescent="0.2">
      <c r="A16" s="13" t="s">
        <v>290</v>
      </c>
      <c r="B16" s="10">
        <f>IF(COUNTIF('Online Roster'!$B$3:$B$111,Vendors!A16)=0,COUNTIF('Online Roster'!$K$3:$K$111,Vendors!A16),COUNTIF('Online Roster'!$B$3:$B$111,Vendors!A16))</f>
        <v>1</v>
      </c>
      <c r="C16" s="13" t="s">
        <v>290</v>
      </c>
      <c r="D16" s="10">
        <f>IF(COUNTIF('Online Roster'!$B$3:$B$111,Vendors!C16)=0,COUNTIF('Online Roster'!$K$3:$K$111,Vendors!C16),COUNTIF('Online Roster'!$B$3:$B$111,Vendors!C16))</f>
        <v>1</v>
      </c>
    </row>
    <row r="17" spans="1:4" x14ac:dyDescent="0.2">
      <c r="A17" s="13" t="s">
        <v>30</v>
      </c>
      <c r="B17" s="10">
        <f>IF(COUNTIF('Online Roster'!$B$3:$B$111,Vendors!A17)=0,COUNTIF('Online Roster'!$K$3:$K$111,Vendors!A17),COUNTIF('Online Roster'!$B$3:$B$111,Vendors!A17))</f>
        <v>1</v>
      </c>
      <c r="C17" s="13" t="s">
        <v>30</v>
      </c>
      <c r="D17" s="10">
        <f>IF(COUNTIF('Online Roster'!$B$3:$B$111,Vendors!C17)=0,COUNTIF('Online Roster'!$K$3:$K$111,Vendors!C17),COUNTIF('Online Roster'!$B$3:$B$111,Vendors!C17))</f>
        <v>1</v>
      </c>
    </row>
    <row r="18" spans="1:4" x14ac:dyDescent="0.2">
      <c r="A18" s="13" t="s">
        <v>37</v>
      </c>
      <c r="B18" s="10">
        <f>IF(COUNTIF('Online Roster'!$B$3:$B$111,Vendors!A18)=0,COUNTIF('Online Roster'!$K$3:$K$111,Vendors!A18),COUNTIF('Online Roster'!$B$3:$B$111,Vendors!A18))</f>
        <v>1</v>
      </c>
      <c r="C18" s="13" t="s">
        <v>37</v>
      </c>
      <c r="D18" s="10">
        <f>IF(COUNTIF('Online Roster'!$B$3:$B$111,Vendors!C18)=0,COUNTIF('Online Roster'!$K$3:$K$111,Vendors!C18),COUNTIF('Online Roster'!$B$3:$B$111,Vendors!C18))</f>
        <v>1</v>
      </c>
    </row>
    <row r="19" spans="1:4" x14ac:dyDescent="0.2">
      <c r="A19" s="13" t="s">
        <v>71</v>
      </c>
      <c r="B19" s="10">
        <f>IF(COUNTIF('Online Roster'!$B$3:$B$111,Vendors!A19)=0,COUNTIF('Online Roster'!$K$3:$K$111,Vendors!A19),COUNTIF('Online Roster'!$B$3:$B$111,Vendors!A19))</f>
        <v>1</v>
      </c>
      <c r="C19" s="13" t="s">
        <v>71</v>
      </c>
      <c r="D19" s="10">
        <f>IF(COUNTIF('Online Roster'!$B$3:$B$111,Vendors!C19)=0,COUNTIF('Online Roster'!$K$3:$K$111,Vendors!C19),COUNTIF('Online Roster'!$B$3:$B$111,Vendors!C19))</f>
        <v>1</v>
      </c>
    </row>
    <row r="20" spans="1:4" x14ac:dyDescent="0.2">
      <c r="A20" s="13" t="s">
        <v>272</v>
      </c>
      <c r="B20" s="10">
        <f>IF(COUNTIF('Online Roster'!$B$3:$B$111,Vendors!A20)=0,COUNTIF('Online Roster'!$K$3:$K$111,Vendors!A20),COUNTIF('Online Roster'!$B$3:$B$111,Vendors!A20))</f>
        <v>1</v>
      </c>
      <c r="C20" s="13" t="s">
        <v>272</v>
      </c>
      <c r="D20" s="10">
        <f>IF(COUNTIF('Online Roster'!$B$3:$B$111,Vendors!C20)=0,COUNTIF('Online Roster'!$K$3:$K$111,Vendors!C20),COUNTIF('Online Roster'!$B$3:$B$111,Vendors!C20))</f>
        <v>1</v>
      </c>
    </row>
    <row r="21" spans="1:4" x14ac:dyDescent="0.2">
      <c r="A21" s="13" t="s">
        <v>22</v>
      </c>
      <c r="B21" s="10">
        <f>IF(COUNTIF('Online Roster'!$B$3:$B$111,Vendors!A21)=0,COUNTIF('Online Roster'!$K$3:$K$111,Vendors!A21),COUNTIF('Online Roster'!$B$3:$B$111,Vendors!A21))</f>
        <v>1</v>
      </c>
      <c r="C21" s="13" t="s">
        <v>22</v>
      </c>
      <c r="D21" s="10">
        <f>IF(COUNTIF('Online Roster'!$B$3:$B$111,Vendors!C21)=0,COUNTIF('Online Roster'!$K$3:$K$111,Vendors!C21),COUNTIF('Online Roster'!$B$3:$B$111,Vendors!C21))</f>
        <v>1</v>
      </c>
    </row>
    <row r="22" spans="1:4" x14ac:dyDescent="0.2">
      <c r="A22" s="13" t="s">
        <v>70</v>
      </c>
      <c r="B22" s="10">
        <f>IF(COUNTIF('Online Roster'!$B$3:$B$111,Vendors!A22)=0,COUNTIF('Online Roster'!$K$3:$K$111,Vendors!A22),COUNTIF('Online Roster'!$B$3:$B$111,Vendors!A22))</f>
        <v>1</v>
      </c>
      <c r="C22" s="13" t="s">
        <v>70</v>
      </c>
      <c r="D22" s="10">
        <f>IF(COUNTIF('Online Roster'!$B$3:$B$111,Vendors!C22)=0,COUNTIF('Online Roster'!$K$3:$K$111,Vendors!C22),COUNTIF('Online Roster'!$B$3:$B$111,Vendors!C22))</f>
        <v>1</v>
      </c>
    </row>
    <row r="23" spans="1:4" x14ac:dyDescent="0.2">
      <c r="A23" s="13" t="s">
        <v>57</v>
      </c>
      <c r="B23" s="10">
        <f>IF(COUNTIF('Online Roster'!$B$3:$B$111,Vendors!A23)=0,COUNTIF('Online Roster'!$K$3:$K$111,Vendors!A23),COUNTIF('Online Roster'!$B$3:$B$111,Vendors!A23))</f>
        <v>1</v>
      </c>
      <c r="C23" s="13" t="s">
        <v>57</v>
      </c>
      <c r="D23" s="10">
        <f>IF(COUNTIF('Online Roster'!$B$3:$B$111,Vendors!C23)=0,COUNTIF('Online Roster'!$K$3:$K$111,Vendors!C23),COUNTIF('Online Roster'!$B$3:$B$111,Vendors!C23))</f>
        <v>1</v>
      </c>
    </row>
    <row r="24" spans="1:4" x14ac:dyDescent="0.2">
      <c r="A24" s="13" t="s">
        <v>66</v>
      </c>
      <c r="B24" s="10">
        <f>IF(COUNTIF('Online Roster'!$B$3:$B$111,Vendors!A24)=0,COUNTIF('Online Roster'!$K$3:$K$111,Vendors!A24),COUNTIF('Online Roster'!$B$3:$B$111,Vendors!A24))</f>
        <v>1</v>
      </c>
      <c r="C24" s="13" t="s">
        <v>66</v>
      </c>
      <c r="D24" s="10">
        <f>IF(COUNTIF('Online Roster'!$B$3:$B$111,Vendors!C24)=0,COUNTIF('Online Roster'!$K$3:$K$111,Vendors!C24),COUNTIF('Online Roster'!$B$3:$B$111,Vendors!C24))</f>
        <v>1</v>
      </c>
    </row>
    <row r="25" spans="1:4" x14ac:dyDescent="0.2">
      <c r="A25" s="13" t="s">
        <v>295</v>
      </c>
      <c r="B25" s="10">
        <f>IF(COUNTIF('Online Roster'!$B$3:$B$111,Vendors!A25)=0,COUNTIF('Online Roster'!$K$3:$K$111,Vendors!A25),COUNTIF('Online Roster'!$B$3:$B$111,Vendors!A25))</f>
        <v>1</v>
      </c>
      <c r="C25" s="13" t="s">
        <v>295</v>
      </c>
      <c r="D25" s="10">
        <f>IF(COUNTIF('Online Roster'!$B$3:$B$111,Vendors!C25)=0,COUNTIF('Online Roster'!$K$3:$K$111,Vendors!C25),COUNTIF('Online Roster'!$B$3:$B$111,Vendors!C25))</f>
        <v>1</v>
      </c>
    </row>
    <row r="26" spans="1:4" x14ac:dyDescent="0.2">
      <c r="A26" s="13" t="s">
        <v>21</v>
      </c>
      <c r="B26" s="10">
        <f>IF(COUNTIF('Online Roster'!$B$3:$B$111,Vendors!A26)=0,COUNTIF('Online Roster'!$K$3:$K$111,Vendors!A26),COUNTIF('Online Roster'!$B$3:$B$111,Vendors!A26))</f>
        <v>1</v>
      </c>
      <c r="C26" s="13" t="s">
        <v>281</v>
      </c>
      <c r="D26" s="10">
        <f>IF(COUNTIF('Online Roster'!$B$3:$B$111,Vendors!C26)=0,COUNTIF('Online Roster'!$K$3:$K$111,Vendors!C26),COUNTIF('Online Roster'!$B$3:$B$111,Vendors!C26))</f>
        <v>1</v>
      </c>
    </row>
    <row r="27" spans="1:4" x14ac:dyDescent="0.2">
      <c r="A27" s="13" t="s">
        <v>68</v>
      </c>
      <c r="B27" s="10">
        <f>IF(COUNTIF('Online Roster'!$B$3:$B$111,Vendors!A27)=0,COUNTIF('Online Roster'!$K$3:$K$111,Vendors!A27),COUNTIF('Online Roster'!$B$3:$B$111,Vendors!A27))</f>
        <v>1</v>
      </c>
      <c r="C27" s="13" t="s">
        <v>68</v>
      </c>
      <c r="D27" s="10">
        <f>IF(COUNTIF('Online Roster'!$B$3:$B$111,Vendors!C27)=0,COUNTIF('Online Roster'!$K$3:$K$111,Vendors!C27),COUNTIF('Online Roster'!$B$3:$B$111,Vendors!C27))</f>
        <v>1</v>
      </c>
    </row>
    <row r="28" spans="1:4" x14ac:dyDescent="0.2">
      <c r="A28" s="13" t="s">
        <v>59</v>
      </c>
      <c r="B28" s="10">
        <f>IF(COUNTIF('Online Roster'!$B$3:$B$111,Vendors!A28)=0,COUNTIF('Online Roster'!$K$3:$K$111,Vendors!A28),COUNTIF('Online Roster'!$B$3:$B$111,Vendors!A28))</f>
        <v>1</v>
      </c>
      <c r="C28" s="13" t="s">
        <v>59</v>
      </c>
      <c r="D28" s="10">
        <f>IF(COUNTIF('Online Roster'!$B$3:$B$111,Vendors!C28)=0,COUNTIF('Online Roster'!$K$3:$K$111,Vendors!C28),COUNTIF('Online Roster'!$B$3:$B$111,Vendors!C28))</f>
        <v>1</v>
      </c>
    </row>
    <row r="29" spans="1:4" x14ac:dyDescent="0.2">
      <c r="A29" s="13" t="s">
        <v>29</v>
      </c>
      <c r="B29" s="10">
        <f>IF(COUNTIF('Online Roster'!$B$3:$B$111,Vendors!A29)=0,COUNTIF('Online Roster'!$K$3:$K$111,Vendors!A29),COUNTIF('Online Roster'!$B$3:$B$111,Vendors!A29))</f>
        <v>1</v>
      </c>
      <c r="C29" s="13" t="s">
        <v>29</v>
      </c>
      <c r="D29" s="10">
        <f>IF(COUNTIF('Online Roster'!$B$3:$B$111,Vendors!C29)=0,COUNTIF('Online Roster'!$K$3:$K$111,Vendors!C29),COUNTIF('Online Roster'!$B$3:$B$111,Vendors!C29))</f>
        <v>1</v>
      </c>
    </row>
    <row r="30" spans="1:4" x14ac:dyDescent="0.2">
      <c r="A30" s="13" t="s">
        <v>47</v>
      </c>
      <c r="B30" s="10">
        <f>IF(COUNTIF('Online Roster'!$B$3:$B$111,Vendors!A30)=0,COUNTIF('Online Roster'!$K$3:$K$111,Vendors!A30),COUNTIF('Online Roster'!$B$3:$B$111,Vendors!A30))</f>
        <v>1</v>
      </c>
      <c r="C30" s="13" t="s">
        <v>47</v>
      </c>
      <c r="D30" s="10">
        <f>IF(COUNTIF('Online Roster'!$B$3:$B$111,Vendors!C30)=0,COUNTIF('Online Roster'!$K$3:$K$111,Vendors!C30),COUNTIF('Online Roster'!$B$3:$B$111,Vendors!C30))</f>
        <v>1</v>
      </c>
    </row>
    <row r="31" spans="1:4" x14ac:dyDescent="0.2">
      <c r="A31" s="13" t="s">
        <v>273</v>
      </c>
      <c r="B31" s="10">
        <f>IF(COUNTIF('Online Roster'!$B$3:$B$111,Vendors!A31)=0,COUNTIF('Online Roster'!$K$3:$K$111,Vendors!A31),COUNTIF('Online Roster'!$B$3:$B$111,Vendors!A31))</f>
        <v>1</v>
      </c>
      <c r="C31" s="13" t="s">
        <v>273</v>
      </c>
      <c r="D31" s="10">
        <f>IF(COUNTIF('Online Roster'!$B$3:$B$111,Vendors!C31)=0,COUNTIF('Online Roster'!$K$3:$K$111,Vendors!C31),COUNTIF('Online Roster'!$B$3:$B$111,Vendors!C31))</f>
        <v>1</v>
      </c>
    </row>
    <row r="32" spans="1:4" x14ac:dyDescent="0.2">
      <c r="A32" s="13" t="s">
        <v>299</v>
      </c>
      <c r="B32" s="10">
        <f>IF(COUNTIF('Online Roster'!$B$3:$B$111,Vendors!A32)=0,COUNTIF('Online Roster'!$K$3:$K$111,Vendors!A32),COUNTIF('Online Roster'!$B$3:$B$111,Vendors!A32))</f>
        <v>1</v>
      </c>
      <c r="C32" s="13" t="s">
        <v>299</v>
      </c>
      <c r="D32" s="10">
        <f>IF(COUNTIF('Online Roster'!$B$3:$B$111,Vendors!C32)=0,COUNTIF('Online Roster'!$K$3:$K$111,Vendors!C32),COUNTIF('Online Roster'!$B$3:$B$111,Vendors!C32))</f>
        <v>1</v>
      </c>
    </row>
    <row r="33" spans="1:4" x14ac:dyDescent="0.2">
      <c r="A33" s="13" t="s">
        <v>12</v>
      </c>
      <c r="B33" s="10">
        <f>IF(COUNTIF('Online Roster'!$B$3:$B$111,Vendors!A33)=0,COUNTIF('Online Roster'!$K$3:$K$111,Vendors!A33),COUNTIF('Online Roster'!$B$3:$B$111,Vendors!A33))</f>
        <v>1</v>
      </c>
      <c r="C33" s="13" t="s">
        <v>12</v>
      </c>
      <c r="D33" s="10">
        <f>IF(COUNTIF('Online Roster'!$B$3:$B$111,Vendors!C33)=0,COUNTIF('Online Roster'!$K$3:$K$111,Vendors!C33),COUNTIF('Online Roster'!$B$3:$B$111,Vendors!C33))</f>
        <v>1</v>
      </c>
    </row>
    <row r="34" spans="1:4" x14ac:dyDescent="0.2">
      <c r="A34" s="13" t="s">
        <v>289</v>
      </c>
      <c r="B34" s="10">
        <f>IF(COUNTIF('Online Roster'!$B$3:$B$111,Vendors!A34)=0,COUNTIF('Online Roster'!$K$3:$K$111,Vendors!A34),COUNTIF('Online Roster'!$B$3:$B$111,Vendors!A34))</f>
        <v>1</v>
      </c>
      <c r="C34" s="13" t="s">
        <v>289</v>
      </c>
      <c r="D34" s="10">
        <f>IF(COUNTIF('Online Roster'!$B$3:$B$111,Vendors!C34)=0,COUNTIF('Online Roster'!$K$3:$K$111,Vendors!C34),COUNTIF('Online Roster'!$B$3:$B$111,Vendors!C34))</f>
        <v>1</v>
      </c>
    </row>
    <row r="35" spans="1:4" x14ac:dyDescent="0.2">
      <c r="A35" s="13" t="s">
        <v>292</v>
      </c>
      <c r="B35" s="10">
        <f>IF(COUNTIF('Online Roster'!$B$3:$B$111,Vendors!A35)=0,COUNTIF('Online Roster'!$K$3:$K$111,Vendors!A35),COUNTIF('Online Roster'!$B$3:$B$111,Vendors!A35))</f>
        <v>1</v>
      </c>
      <c r="C35" s="13" t="s">
        <v>292</v>
      </c>
      <c r="D35" s="10">
        <f>IF(COUNTIF('Online Roster'!$B$3:$B$111,Vendors!C35)=0,COUNTIF('Online Roster'!$K$3:$K$111,Vendors!C35),COUNTIF('Online Roster'!$B$3:$B$111,Vendors!C35))</f>
        <v>1</v>
      </c>
    </row>
    <row r="36" spans="1:4" x14ac:dyDescent="0.2">
      <c r="A36" s="13" t="s">
        <v>283</v>
      </c>
      <c r="B36" s="10">
        <f>IF(COUNTIF('Online Roster'!$B$3:$B$111,Vendors!A36)=0,COUNTIF('Online Roster'!$K$3:$K$111,Vendors!A36),COUNTIF('Online Roster'!$B$3:$B$111,Vendors!A36))</f>
        <v>1</v>
      </c>
      <c r="C36" s="13" t="s">
        <v>283</v>
      </c>
      <c r="D36" s="10">
        <f>IF(COUNTIF('Online Roster'!$B$3:$B$111,Vendors!C36)=0,COUNTIF('Online Roster'!$K$3:$K$111,Vendors!C36),COUNTIF('Online Roster'!$B$3:$B$111,Vendors!C36))</f>
        <v>1</v>
      </c>
    </row>
    <row r="37" spans="1:4" x14ac:dyDescent="0.2">
      <c r="A37" s="13" t="s">
        <v>6</v>
      </c>
      <c r="B37" s="10">
        <f>IF(COUNTIF('Online Roster'!$B$3:$B$111,Vendors!A37)=0,COUNTIF('Online Roster'!$K$3:$K$111,Vendors!A37),COUNTIF('Online Roster'!$B$3:$B$111,Vendors!A37))</f>
        <v>1</v>
      </c>
      <c r="C37" s="13" t="s">
        <v>6</v>
      </c>
      <c r="D37" s="10">
        <f>IF(COUNTIF('Online Roster'!$B$3:$B$111,Vendors!C37)=0,COUNTIF('Online Roster'!$K$3:$K$111,Vendors!C37),COUNTIF('Online Roster'!$B$3:$B$111,Vendors!C37))</f>
        <v>1</v>
      </c>
    </row>
    <row r="38" spans="1:4" x14ac:dyDescent="0.2">
      <c r="A38" s="13" t="s">
        <v>35</v>
      </c>
      <c r="B38" s="10">
        <f>IF(COUNTIF('Online Roster'!$B$3:$B$111,Vendors!A38)=0,COUNTIF('Online Roster'!$K$3:$K$111,Vendors!A38),COUNTIF('Online Roster'!$B$3:$B$111,Vendors!A38))</f>
        <v>1</v>
      </c>
      <c r="C38" s="13" t="s">
        <v>35</v>
      </c>
      <c r="D38" s="10">
        <f>IF(COUNTIF('Online Roster'!$B$3:$B$111,Vendors!C38)=0,COUNTIF('Online Roster'!$K$3:$K$111,Vendors!C38),COUNTIF('Online Roster'!$B$3:$B$111,Vendors!C38))</f>
        <v>1</v>
      </c>
    </row>
    <row r="39" spans="1:4" x14ac:dyDescent="0.2">
      <c r="A39" s="13" t="s">
        <v>51</v>
      </c>
      <c r="B39" s="10">
        <f>IF(COUNTIF('Online Roster'!$B$3:$B$111,Vendors!A39)=0,COUNTIF('Online Roster'!$K$3:$K$111,Vendors!A39),COUNTIF('Online Roster'!$B$3:$B$111,Vendors!A39))</f>
        <v>1</v>
      </c>
      <c r="C39" s="13" t="s">
        <v>51</v>
      </c>
      <c r="D39" s="10">
        <f>IF(COUNTIF('Online Roster'!$B$3:$B$111,Vendors!C39)=0,COUNTIF('Online Roster'!$K$3:$K$111,Vendors!C39),COUNTIF('Online Roster'!$B$3:$B$111,Vendors!C39))</f>
        <v>1</v>
      </c>
    </row>
    <row r="40" spans="1:4" x14ac:dyDescent="0.2">
      <c r="A40" s="13" t="s">
        <v>276</v>
      </c>
      <c r="B40" s="10">
        <f>IF(COUNTIF('Online Roster'!$B$3:$B$111,Vendors!A40)=0,COUNTIF('Online Roster'!$K$3:$K$111,Vendors!A40),COUNTIF('Online Roster'!$B$3:$B$111,Vendors!A40))</f>
        <v>1</v>
      </c>
      <c r="C40" s="13" t="s">
        <v>276</v>
      </c>
      <c r="D40" s="10">
        <f>IF(COUNTIF('Online Roster'!$B$3:$B$111,Vendors!C40)=0,COUNTIF('Online Roster'!$K$3:$K$111,Vendors!C40),COUNTIF('Online Roster'!$B$3:$B$111,Vendors!C40))</f>
        <v>1</v>
      </c>
    </row>
    <row r="41" spans="1:4" x14ac:dyDescent="0.2">
      <c r="A41" s="13" t="s">
        <v>2</v>
      </c>
      <c r="B41" s="10">
        <f>IF(COUNTIF('Online Roster'!$B$3:$B$111,Vendors!A41)=0,COUNTIF('Online Roster'!$K$3:$K$111,Vendors!A41),COUNTIF('Online Roster'!$B$3:$B$111,Vendors!A41))</f>
        <v>1</v>
      </c>
      <c r="C41" s="13" t="s">
        <v>2</v>
      </c>
      <c r="D41" s="10">
        <f>IF(COUNTIF('Online Roster'!$B$3:$B$111,Vendors!C41)=0,COUNTIF('Online Roster'!$K$3:$K$111,Vendors!C41),COUNTIF('Online Roster'!$B$3:$B$111,Vendors!C41))</f>
        <v>1</v>
      </c>
    </row>
    <row r="42" spans="1:4" x14ac:dyDescent="0.2">
      <c r="A42" s="13" t="s">
        <v>300</v>
      </c>
      <c r="B42" s="10">
        <f>IF(COUNTIF('Online Roster'!$B$3:$B$111,Vendors!A42)=0,COUNTIF('Online Roster'!$K$3:$K$111,Vendors!A42),COUNTIF('Online Roster'!$B$3:$B$111,Vendors!A42))</f>
        <v>1</v>
      </c>
      <c r="C42" s="13" t="s">
        <v>300</v>
      </c>
      <c r="D42" s="10">
        <f>IF(COUNTIF('Online Roster'!$B$3:$B$111,Vendors!C42)=0,COUNTIF('Online Roster'!$K$3:$K$111,Vendors!C42),COUNTIF('Online Roster'!$B$3:$B$111,Vendors!C42))</f>
        <v>1</v>
      </c>
    </row>
    <row r="43" spans="1:4" x14ac:dyDescent="0.2">
      <c r="A43" s="13" t="s">
        <v>16</v>
      </c>
      <c r="B43" s="10">
        <f>IF(COUNTIF('Online Roster'!$B$3:$B$111,Vendors!A43)=0,COUNTIF('Online Roster'!$K$3:$K$111,Vendors!A43),COUNTIF('Online Roster'!$B$3:$B$111,Vendors!A43))</f>
        <v>1</v>
      </c>
      <c r="C43" s="13" t="s">
        <v>16</v>
      </c>
      <c r="D43" s="10">
        <f>IF(COUNTIF('Online Roster'!$B$3:$B$111,Vendors!C43)=0,COUNTIF('Online Roster'!$K$3:$K$111,Vendors!C43),COUNTIF('Online Roster'!$B$3:$B$111,Vendors!C43))</f>
        <v>1</v>
      </c>
    </row>
    <row r="44" spans="1:4" x14ac:dyDescent="0.2">
      <c r="A44" s="13" t="s">
        <v>50</v>
      </c>
      <c r="B44" s="10">
        <f>IF(COUNTIF('Online Roster'!$B$3:$B$111,Vendors!A44)=0,COUNTIF('Online Roster'!$K$3:$K$111,Vendors!A44),COUNTIF('Online Roster'!$B$3:$B$111,Vendors!A44))</f>
        <v>1</v>
      </c>
      <c r="C44" s="13" t="s">
        <v>50</v>
      </c>
      <c r="D44" s="10">
        <f>IF(COUNTIF('Online Roster'!$B$3:$B$111,Vendors!C44)=0,COUNTIF('Online Roster'!$K$3:$K$111,Vendors!C44),COUNTIF('Online Roster'!$B$3:$B$111,Vendors!C44))</f>
        <v>1</v>
      </c>
    </row>
    <row r="45" spans="1:4" x14ac:dyDescent="0.2">
      <c r="A45" s="13" t="s">
        <v>39</v>
      </c>
      <c r="B45" s="10">
        <f>IF(COUNTIF('Online Roster'!$B$3:$B$111,Vendors!A45)=0,COUNTIF('Online Roster'!$K$3:$K$111,Vendors!A45),COUNTIF('Online Roster'!$B$3:$B$111,Vendors!A45))</f>
        <v>1</v>
      </c>
      <c r="C45" s="13" t="s">
        <v>39</v>
      </c>
      <c r="D45" s="10">
        <f>IF(COUNTIF('Online Roster'!$B$3:$B$111,Vendors!C45)=0,COUNTIF('Online Roster'!$K$3:$K$111,Vendors!C45),COUNTIF('Online Roster'!$B$3:$B$111,Vendors!C45))</f>
        <v>1</v>
      </c>
    </row>
    <row r="46" spans="1:4" x14ac:dyDescent="0.2">
      <c r="A46" s="13" t="s">
        <v>293</v>
      </c>
      <c r="B46" s="10">
        <f>IF(COUNTIF('Online Roster'!$B$3:$B$111,Vendors!A46)=0,COUNTIF('Online Roster'!$K$3:$K$111,Vendors!A46),COUNTIF('Online Roster'!$B$3:$B$111,Vendors!A46))</f>
        <v>1</v>
      </c>
      <c r="C46" s="13" t="s">
        <v>293</v>
      </c>
      <c r="D46" s="10">
        <f>IF(COUNTIF('Online Roster'!$B$3:$B$111,Vendors!C46)=0,COUNTIF('Online Roster'!$K$3:$K$111,Vendors!C46),COUNTIF('Online Roster'!$B$3:$B$111,Vendors!C46))</f>
        <v>1</v>
      </c>
    </row>
    <row r="47" spans="1:4" x14ac:dyDescent="0.2">
      <c r="A47" s="13" t="s">
        <v>14</v>
      </c>
      <c r="B47" s="10">
        <f>IF(COUNTIF('Online Roster'!$B$3:$B$111,Vendors!A47)=0,COUNTIF('Online Roster'!$K$3:$K$111,Vendors!A47),COUNTIF('Online Roster'!$B$3:$B$111,Vendors!A47))</f>
        <v>1</v>
      </c>
      <c r="C47" s="13" t="s">
        <v>14</v>
      </c>
      <c r="D47" s="10">
        <f>IF(COUNTIF('Online Roster'!$B$3:$B$111,Vendors!C47)=0,COUNTIF('Online Roster'!$K$3:$K$111,Vendors!C47),COUNTIF('Online Roster'!$B$3:$B$111,Vendors!C47))</f>
        <v>1</v>
      </c>
    </row>
    <row r="48" spans="1:4" x14ac:dyDescent="0.2">
      <c r="A48" s="13" t="s">
        <v>3</v>
      </c>
      <c r="B48" s="10">
        <f>IF(COUNTIF('Online Roster'!$B$3:$B$111,Vendors!A48)=0,COUNTIF('Online Roster'!$K$3:$K$111,Vendors!A48),COUNTIF('Online Roster'!$B$3:$B$111,Vendors!A48))</f>
        <v>1</v>
      </c>
      <c r="C48" s="13" t="s">
        <v>3</v>
      </c>
      <c r="D48" s="10">
        <f>IF(COUNTIF('Online Roster'!$B$3:$B$111,Vendors!C48)=0,COUNTIF('Online Roster'!$K$3:$K$111,Vendors!C48),COUNTIF('Online Roster'!$B$3:$B$111,Vendors!C48))</f>
        <v>1</v>
      </c>
    </row>
    <row r="49" spans="1:4" x14ac:dyDescent="0.2">
      <c r="A49" s="13" t="s">
        <v>10</v>
      </c>
      <c r="B49" s="10">
        <f>IF(COUNTIF('Online Roster'!$B$3:$B$111,Vendors!A49)=0,COUNTIF('Online Roster'!$K$3:$K$111,Vendors!A49),COUNTIF('Online Roster'!$B$3:$B$111,Vendors!A49))</f>
        <v>1</v>
      </c>
      <c r="C49" s="13" t="s">
        <v>10</v>
      </c>
      <c r="D49" s="10">
        <f>IF(COUNTIF('Online Roster'!$B$3:$B$111,Vendors!C49)=0,COUNTIF('Online Roster'!$K$3:$K$111,Vendors!C49),COUNTIF('Online Roster'!$B$3:$B$111,Vendors!C49))</f>
        <v>1</v>
      </c>
    </row>
    <row r="50" spans="1:4" x14ac:dyDescent="0.2">
      <c r="A50" s="13" t="s">
        <v>287</v>
      </c>
      <c r="B50" s="10">
        <f>IF(COUNTIF('Online Roster'!$B$3:$B$111,Vendors!A50)=0,COUNTIF('Online Roster'!$K$3:$K$111,Vendors!A50),COUNTIF('Online Roster'!$B$3:$B$111,Vendors!A50))</f>
        <v>1</v>
      </c>
      <c r="C50" s="13" t="s">
        <v>287</v>
      </c>
      <c r="D50" s="10">
        <f>IF(COUNTIF('Online Roster'!$B$3:$B$111,Vendors!C50)=0,COUNTIF('Online Roster'!$K$3:$K$111,Vendors!C50),COUNTIF('Online Roster'!$B$3:$B$111,Vendors!C50))</f>
        <v>1</v>
      </c>
    </row>
    <row r="51" spans="1:4" x14ac:dyDescent="0.2">
      <c r="A51" s="13" t="s">
        <v>364</v>
      </c>
      <c r="B51" s="10">
        <f>IF(COUNTIF('Online Roster'!$B$3:$B$111,Vendors!A51)=0,COUNTIF('Online Roster'!$K$3:$K$111,Vendors!A51),COUNTIF('Online Roster'!$B$3:$B$111,Vendors!A51))</f>
        <v>1</v>
      </c>
      <c r="C51" s="13" t="s">
        <v>364</v>
      </c>
      <c r="D51" s="10">
        <f>IF(COUNTIF('Online Roster'!$B$3:$B$111,Vendors!C51)=0,COUNTIF('Online Roster'!$K$3:$K$111,Vendors!C51),COUNTIF('Online Roster'!$B$3:$B$111,Vendors!C51))</f>
        <v>1</v>
      </c>
    </row>
    <row r="52" spans="1:4" x14ac:dyDescent="0.2">
      <c r="A52" s="13" t="s">
        <v>23</v>
      </c>
      <c r="B52" s="10">
        <f>IF(COUNTIF('Online Roster'!$B$3:$B$111,Vendors!A52)=0,COUNTIF('Online Roster'!$K$3:$K$111,Vendors!A52),COUNTIF('Online Roster'!$B$3:$B$111,Vendors!A52))</f>
        <v>1</v>
      </c>
      <c r="C52" s="13" t="s">
        <v>23</v>
      </c>
      <c r="D52" s="10">
        <f>IF(COUNTIF('Online Roster'!$B$3:$B$111,Vendors!C52)=0,COUNTIF('Online Roster'!$K$3:$K$111,Vendors!C52),COUNTIF('Online Roster'!$B$3:$B$111,Vendors!C52))</f>
        <v>1</v>
      </c>
    </row>
    <row r="53" spans="1:4" x14ac:dyDescent="0.2">
      <c r="A53" s="13" t="s">
        <v>275</v>
      </c>
      <c r="B53" s="10">
        <f>IF(COUNTIF('Online Roster'!$B$3:$B$111,Vendors!A53)=0,COUNTIF('Online Roster'!$K$3:$K$111,Vendors!A53),COUNTIF('Online Roster'!$B$3:$B$111,Vendors!A53))</f>
        <v>1</v>
      </c>
      <c r="C53" s="13" t="s">
        <v>275</v>
      </c>
      <c r="D53" s="10">
        <f>IF(COUNTIF('Online Roster'!$B$3:$B$111,Vendors!C53)=0,COUNTIF('Online Roster'!$K$3:$K$111,Vendors!C53),COUNTIF('Online Roster'!$B$3:$B$111,Vendors!C53))</f>
        <v>1</v>
      </c>
    </row>
    <row r="54" spans="1:4" x14ac:dyDescent="0.2">
      <c r="A54" s="13" t="s">
        <v>41</v>
      </c>
      <c r="B54" s="10">
        <f>IF(COUNTIF('Online Roster'!$B$3:$B$111,Vendors!A54)=0,COUNTIF('Online Roster'!$K$3:$K$111,Vendors!A54),COUNTIF('Online Roster'!$B$3:$B$111,Vendors!A54))</f>
        <v>1</v>
      </c>
      <c r="C54" s="13" t="s">
        <v>41</v>
      </c>
      <c r="D54" s="10">
        <f>IF(COUNTIF('Online Roster'!$B$3:$B$111,Vendors!C54)=0,COUNTIF('Online Roster'!$K$3:$K$111,Vendors!C54),COUNTIF('Online Roster'!$B$3:$B$111,Vendors!C54))</f>
        <v>1</v>
      </c>
    </row>
    <row r="55" spans="1:4" x14ac:dyDescent="0.2">
      <c r="A55" s="13" t="s">
        <v>34</v>
      </c>
      <c r="B55" s="10">
        <f>IF(COUNTIF('Online Roster'!$B$3:$B$111,Vendors!A55)=0,COUNTIF('Online Roster'!$K$3:$K$111,Vendors!A55),COUNTIF('Online Roster'!$B$3:$B$111,Vendors!A55))</f>
        <v>1</v>
      </c>
      <c r="C55" s="13" t="s">
        <v>34</v>
      </c>
      <c r="D55" s="10">
        <f>IF(COUNTIF('Online Roster'!$B$3:$B$111,Vendors!C55)=0,COUNTIF('Online Roster'!$K$3:$K$111,Vendors!C55),COUNTIF('Online Roster'!$B$3:$B$111,Vendors!C55))</f>
        <v>1</v>
      </c>
    </row>
    <row r="56" spans="1:4" x14ac:dyDescent="0.2">
      <c r="A56" s="13" t="s">
        <v>303</v>
      </c>
      <c r="B56" s="10">
        <f>IF(COUNTIF('Online Roster'!$B$3:$B$111,Vendors!A56)=0,COUNTIF('Online Roster'!$K$3:$K$111,Vendors!A56),COUNTIF('Online Roster'!$B$3:$B$111,Vendors!A56))</f>
        <v>1</v>
      </c>
      <c r="C56" s="13" t="s">
        <v>303</v>
      </c>
      <c r="D56" s="10">
        <f>IF(COUNTIF('Online Roster'!$B$3:$B$111,Vendors!C56)=0,COUNTIF('Online Roster'!$K$3:$K$111,Vendors!C56),COUNTIF('Online Roster'!$B$3:$B$111,Vendors!C56))</f>
        <v>1</v>
      </c>
    </row>
    <row r="57" spans="1:4" x14ac:dyDescent="0.2">
      <c r="A57" s="13" t="s">
        <v>282</v>
      </c>
      <c r="B57" s="10">
        <f>IF(COUNTIF('Online Roster'!$B$3:$B$111,Vendors!A57)=0,COUNTIF('Online Roster'!$K$3:$K$111,Vendors!A57),COUNTIF('Online Roster'!$B$3:$B$111,Vendors!A57))</f>
        <v>1</v>
      </c>
      <c r="C57" s="13" t="s">
        <v>282</v>
      </c>
      <c r="D57" s="10">
        <f>IF(COUNTIF('Online Roster'!$B$3:$B$111,Vendors!C57)=0,COUNTIF('Online Roster'!$K$3:$K$111,Vendors!C57),COUNTIF('Online Roster'!$B$3:$B$111,Vendors!C57))</f>
        <v>1</v>
      </c>
    </row>
    <row r="58" spans="1:4" x14ac:dyDescent="0.2">
      <c r="A58" s="13" t="s">
        <v>8</v>
      </c>
      <c r="B58" s="10">
        <f>IF(COUNTIF('Online Roster'!$B$3:$B$111,Vendors!A58)=0,COUNTIF('Online Roster'!$K$3:$K$111,Vendors!A58),COUNTIF('Online Roster'!$B$3:$B$111,Vendors!A58))</f>
        <v>1</v>
      </c>
      <c r="C58" s="13" t="s">
        <v>8</v>
      </c>
      <c r="D58" s="10">
        <f>IF(COUNTIF('Online Roster'!$B$3:$B$111,Vendors!C58)=0,COUNTIF('Online Roster'!$K$3:$K$111,Vendors!C58),COUNTIF('Online Roster'!$B$3:$B$111,Vendors!C58))</f>
        <v>1</v>
      </c>
    </row>
    <row r="59" spans="1:4" x14ac:dyDescent="0.2">
      <c r="A59" s="13" t="s">
        <v>19</v>
      </c>
      <c r="B59" s="10">
        <f>IF(COUNTIF('Online Roster'!$B$3:$B$111,Vendors!A59)=0,COUNTIF('Online Roster'!$K$3:$K$111,Vendors!A59),COUNTIF('Online Roster'!$B$3:$B$111,Vendors!A59))</f>
        <v>1</v>
      </c>
      <c r="C59" s="13" t="s">
        <v>19</v>
      </c>
      <c r="D59" s="10">
        <f>IF(COUNTIF('Online Roster'!$B$3:$B$111,Vendors!C59)=0,COUNTIF('Online Roster'!$K$3:$K$111,Vendors!C59),COUNTIF('Online Roster'!$B$3:$B$111,Vendors!C59))</f>
        <v>1</v>
      </c>
    </row>
    <row r="60" spans="1:4" x14ac:dyDescent="0.2">
      <c r="A60" s="13" t="s">
        <v>294</v>
      </c>
      <c r="B60" s="10">
        <f>IF(COUNTIF('Online Roster'!$B$3:$B$111,Vendors!A60)=0,COUNTIF('Online Roster'!$K$3:$K$111,Vendors!A60),COUNTIF('Online Roster'!$B$3:$B$111,Vendors!A60))</f>
        <v>1</v>
      </c>
      <c r="C60" s="13" t="s">
        <v>294</v>
      </c>
      <c r="D60" s="10">
        <f>IF(COUNTIF('Online Roster'!$B$3:$B$111,Vendors!C60)=0,COUNTIF('Online Roster'!$K$3:$K$111,Vendors!C60),COUNTIF('Online Roster'!$B$3:$B$111,Vendors!C60))</f>
        <v>1</v>
      </c>
    </row>
    <row r="61" spans="1:4" x14ac:dyDescent="0.2">
      <c r="A61" s="13" t="s">
        <v>26</v>
      </c>
      <c r="B61" s="10">
        <f>IF(COUNTIF('Online Roster'!$B$3:$B$111,Vendors!A61)=0,COUNTIF('Online Roster'!$K$3:$K$111,Vendors!A61),COUNTIF('Online Roster'!$B$3:$B$111,Vendors!A61))</f>
        <v>1</v>
      </c>
      <c r="C61" s="13" t="s">
        <v>26</v>
      </c>
      <c r="D61" s="10">
        <f>IF(COUNTIF('Online Roster'!$B$3:$B$111,Vendors!C61)=0,COUNTIF('Online Roster'!$K$3:$K$111,Vendors!C61),COUNTIF('Online Roster'!$B$3:$B$111,Vendors!C61))</f>
        <v>1</v>
      </c>
    </row>
    <row r="62" spans="1:4" x14ac:dyDescent="0.2">
      <c r="A62" s="13" t="s">
        <v>65</v>
      </c>
      <c r="B62" s="10">
        <f>IF(COUNTIF('Online Roster'!$B$3:$B$111,Vendors!A62)=0,COUNTIF('Online Roster'!$K$3:$K$111,Vendors!A62),COUNTIF('Online Roster'!$B$3:$B$111,Vendors!A62))</f>
        <v>1</v>
      </c>
      <c r="C62" s="13" t="s">
        <v>65</v>
      </c>
      <c r="D62" s="10">
        <f>IF(COUNTIF('Online Roster'!$B$3:$B$111,Vendors!C62)=0,COUNTIF('Online Roster'!$K$3:$K$111,Vendors!C62),COUNTIF('Online Roster'!$B$3:$B$111,Vendors!C62))</f>
        <v>1</v>
      </c>
    </row>
    <row r="63" spans="1:4" x14ac:dyDescent="0.2">
      <c r="A63" s="13" t="s">
        <v>278</v>
      </c>
      <c r="B63" s="10">
        <f>IF(COUNTIF('Online Roster'!$B$3:$B$111,Vendors!A63)=0,COUNTIF('Online Roster'!$K$3:$K$111,Vendors!A63),COUNTIF('Online Roster'!$B$3:$B$111,Vendors!A63))</f>
        <v>1</v>
      </c>
      <c r="C63" s="13" t="s">
        <v>278</v>
      </c>
      <c r="D63" s="10">
        <f>IF(COUNTIF('Online Roster'!$B$3:$B$111,Vendors!C63)=0,COUNTIF('Online Roster'!$K$3:$K$111,Vendors!C63),COUNTIF('Online Roster'!$B$3:$B$111,Vendors!C63))</f>
        <v>1</v>
      </c>
    </row>
    <row r="64" spans="1:4" x14ac:dyDescent="0.2">
      <c r="A64" s="13" t="s">
        <v>296</v>
      </c>
      <c r="B64" s="10">
        <f>IF(COUNTIF('Online Roster'!$B$3:$B$111,Vendors!A64)=0,COUNTIF('Online Roster'!$K$3:$K$111,Vendors!A64),COUNTIF('Online Roster'!$B$3:$B$111,Vendors!A64))</f>
        <v>1</v>
      </c>
      <c r="C64" s="13" t="s">
        <v>296</v>
      </c>
      <c r="D64" s="10">
        <f>IF(COUNTIF('Online Roster'!$B$3:$B$111,Vendors!C64)=0,COUNTIF('Online Roster'!$K$3:$K$111,Vendors!C64),COUNTIF('Online Roster'!$B$3:$B$111,Vendors!C64))</f>
        <v>1</v>
      </c>
    </row>
    <row r="65" spans="1:4" x14ac:dyDescent="0.2">
      <c r="A65" s="13" t="s">
        <v>69</v>
      </c>
      <c r="B65" s="10">
        <f>IF(COUNTIF('Online Roster'!$B$3:$B$111,Vendors!A65)=0,COUNTIF('Online Roster'!$K$3:$K$111,Vendors!A65),COUNTIF('Online Roster'!$B$3:$B$111,Vendors!A65))</f>
        <v>1</v>
      </c>
      <c r="C65" s="13" t="s">
        <v>69</v>
      </c>
      <c r="D65" s="10">
        <f>IF(COUNTIF('Online Roster'!$B$3:$B$111,Vendors!C65)=0,COUNTIF('Online Roster'!$K$3:$K$111,Vendors!C65),COUNTIF('Online Roster'!$B$3:$B$111,Vendors!C65))</f>
        <v>1</v>
      </c>
    </row>
    <row r="66" spans="1:4" x14ac:dyDescent="0.2">
      <c r="A66" s="13" t="s">
        <v>7</v>
      </c>
      <c r="B66" s="10">
        <f>IF(COUNTIF('Online Roster'!$B$3:$B$111,Vendors!A66)=0,COUNTIF('Online Roster'!$K$3:$K$111,Vendors!A66),COUNTIF('Online Roster'!$B$3:$B$111,Vendors!A66))</f>
        <v>1</v>
      </c>
      <c r="C66" s="13" t="s">
        <v>7</v>
      </c>
      <c r="D66" s="10">
        <f>IF(COUNTIF('Online Roster'!$B$3:$B$111,Vendors!C66)=0,COUNTIF('Online Roster'!$K$3:$K$111,Vendors!C66),COUNTIF('Online Roster'!$B$3:$B$111,Vendors!C66))</f>
        <v>1</v>
      </c>
    </row>
    <row r="67" spans="1:4" x14ac:dyDescent="0.2">
      <c r="A67" s="13" t="s">
        <v>33</v>
      </c>
      <c r="B67" s="10">
        <f>IF(COUNTIF('Online Roster'!$B$3:$B$111,Vendors!A67)=0,COUNTIF('Online Roster'!$K$3:$K$111,Vendors!A67),COUNTIF('Online Roster'!$B$3:$B$111,Vendors!A67))</f>
        <v>1</v>
      </c>
      <c r="C67" s="13" t="s">
        <v>33</v>
      </c>
      <c r="D67" s="10">
        <f>IF(COUNTIF('Online Roster'!$B$3:$B$111,Vendors!C67)=0,COUNTIF('Online Roster'!$K$3:$K$111,Vendors!C67),COUNTIF('Online Roster'!$B$3:$B$111,Vendors!C67))</f>
        <v>1</v>
      </c>
    </row>
    <row r="68" spans="1:4" x14ac:dyDescent="0.2">
      <c r="A68" s="13" t="s">
        <v>297</v>
      </c>
      <c r="B68" s="10">
        <f>IF(COUNTIF('Online Roster'!$B$3:$B$111,Vendors!A68)=0,COUNTIF('Online Roster'!$K$3:$K$111,Vendors!A68),COUNTIF('Online Roster'!$B$3:$B$111,Vendors!A68))</f>
        <v>1</v>
      </c>
      <c r="C68" s="13" t="s">
        <v>297</v>
      </c>
      <c r="D68" s="10">
        <f>IF(COUNTIF('Online Roster'!$B$3:$B$111,Vendors!C68)=0,COUNTIF('Online Roster'!$K$3:$K$111,Vendors!C68),COUNTIF('Online Roster'!$B$3:$B$111,Vendors!C68))</f>
        <v>1</v>
      </c>
    </row>
    <row r="69" spans="1:4" x14ac:dyDescent="0.2">
      <c r="A69" s="13" t="s">
        <v>61</v>
      </c>
      <c r="B69" s="10">
        <f>IF(COUNTIF('Online Roster'!$B$3:$B$111,Vendors!A69)=0,COUNTIF('Online Roster'!$K$3:$K$111,Vendors!A69),COUNTIF('Online Roster'!$B$3:$B$111,Vendors!A69))</f>
        <v>1</v>
      </c>
      <c r="C69" s="13" t="s">
        <v>61</v>
      </c>
      <c r="D69" s="10">
        <f>IF(COUNTIF('Online Roster'!$B$3:$B$111,Vendors!C69)=0,COUNTIF('Online Roster'!$K$3:$K$111,Vendors!C69),COUNTIF('Online Roster'!$B$3:$B$111,Vendors!C69))</f>
        <v>1</v>
      </c>
    </row>
    <row r="70" spans="1:4" x14ac:dyDescent="0.2">
      <c r="A70" s="13" t="s">
        <v>44</v>
      </c>
      <c r="B70" s="10">
        <f>IF(COUNTIF('Online Roster'!$B$3:$B$111,Vendors!A70)=0,COUNTIF('Online Roster'!$K$3:$K$111,Vendors!A70),COUNTIF('Online Roster'!$B$3:$B$111,Vendors!A70))</f>
        <v>1</v>
      </c>
      <c r="C70" s="13" t="s">
        <v>44</v>
      </c>
      <c r="D70" s="10">
        <f>IF(COUNTIF('Online Roster'!$B$3:$B$111,Vendors!C70)=0,COUNTIF('Online Roster'!$K$3:$K$111,Vendors!C70),COUNTIF('Online Roster'!$B$3:$B$111,Vendors!C70))</f>
        <v>1</v>
      </c>
    </row>
    <row r="71" spans="1:4" x14ac:dyDescent="0.2">
      <c r="A71" s="13" t="s">
        <v>64</v>
      </c>
      <c r="B71" s="10">
        <f>IF(COUNTIF('Online Roster'!$B$3:$B$111,Vendors!A71)=0,COUNTIF('Online Roster'!$K$3:$K$111,Vendors!A71),COUNTIF('Online Roster'!$B$3:$B$111,Vendors!A71))</f>
        <v>1</v>
      </c>
      <c r="C71" s="13" t="s">
        <v>64</v>
      </c>
      <c r="D71" s="10">
        <f>IF(COUNTIF('Online Roster'!$B$3:$B$111,Vendors!C71)=0,COUNTIF('Online Roster'!$K$3:$K$111,Vendors!C71),COUNTIF('Online Roster'!$B$3:$B$111,Vendors!C71))</f>
        <v>1</v>
      </c>
    </row>
    <row r="72" spans="1:4" x14ac:dyDescent="0.2">
      <c r="A72" s="13" t="s">
        <v>43</v>
      </c>
      <c r="B72" s="10">
        <f>IF(COUNTIF('Online Roster'!$B$3:$B$111,Vendors!A72)=0,COUNTIF('Online Roster'!$K$3:$K$111,Vendors!A72),COUNTIF('Online Roster'!$B$3:$B$111,Vendors!A72))</f>
        <v>1</v>
      </c>
      <c r="C72" s="13" t="s">
        <v>43</v>
      </c>
      <c r="D72" s="10">
        <f>IF(COUNTIF('Online Roster'!$B$3:$B$111,Vendors!C72)=0,COUNTIF('Online Roster'!$K$3:$K$111,Vendors!C72),COUNTIF('Online Roster'!$B$3:$B$111,Vendors!C72))</f>
        <v>1</v>
      </c>
    </row>
    <row r="73" spans="1:4" x14ac:dyDescent="0.2">
      <c r="A73" s="13" t="s">
        <v>291</v>
      </c>
      <c r="B73" s="10">
        <f>IF(COUNTIF('Online Roster'!$B$3:$B$111,Vendors!A73)=0,COUNTIF('Online Roster'!$K$3:$K$111,Vendors!A73),COUNTIF('Online Roster'!$B$3:$B$111,Vendors!A73))</f>
        <v>1</v>
      </c>
      <c r="C73" s="13" t="s">
        <v>291</v>
      </c>
      <c r="D73" s="10">
        <f>IF(COUNTIF('Online Roster'!$B$3:$B$111,Vendors!C73)=0,COUNTIF('Online Roster'!$K$3:$K$111,Vendors!C73),COUNTIF('Online Roster'!$B$3:$B$111,Vendors!C73))</f>
        <v>1</v>
      </c>
    </row>
    <row r="74" spans="1:4" x14ac:dyDescent="0.2">
      <c r="A74" s="13" t="s">
        <v>45</v>
      </c>
      <c r="B74" s="10">
        <f>IF(COUNTIF('Online Roster'!$B$3:$B$111,Vendors!A74)=0,COUNTIF('Online Roster'!$K$3:$K$111,Vendors!A74),COUNTIF('Online Roster'!$B$3:$B$111,Vendors!A74))</f>
        <v>1</v>
      </c>
      <c r="C74" s="13" t="s">
        <v>45</v>
      </c>
      <c r="D74" s="10">
        <f>IF(COUNTIF('Online Roster'!$B$3:$B$111,Vendors!C74)=0,COUNTIF('Online Roster'!$K$3:$K$111,Vendors!C74),COUNTIF('Online Roster'!$B$3:$B$111,Vendors!C74))</f>
        <v>1</v>
      </c>
    </row>
    <row r="75" spans="1:4" x14ac:dyDescent="0.2">
      <c r="A75" s="13" t="s">
        <v>20</v>
      </c>
      <c r="B75" s="10">
        <f>IF(COUNTIF('Online Roster'!$B$3:$B$111,Vendors!A75)=0,COUNTIF('Online Roster'!$K$3:$K$111,Vendors!A75),COUNTIF('Online Roster'!$B$3:$B$111,Vendors!A75))</f>
        <v>1</v>
      </c>
      <c r="C75" s="13" t="s">
        <v>20</v>
      </c>
      <c r="D75" s="10">
        <f>IF(COUNTIF('Online Roster'!$B$3:$B$111,Vendors!C75)=0,COUNTIF('Online Roster'!$K$3:$K$111,Vendors!C75),COUNTIF('Online Roster'!$B$3:$B$111,Vendors!C75))</f>
        <v>1</v>
      </c>
    </row>
    <row r="76" spans="1:4" x14ac:dyDescent="0.2">
      <c r="A76" s="13" t="s">
        <v>53</v>
      </c>
      <c r="B76" s="10">
        <f>IF(COUNTIF('Online Roster'!$B$3:$B$111,Vendors!A76)=0,COUNTIF('Online Roster'!$K$3:$K$111,Vendors!A76),COUNTIF('Online Roster'!$B$3:$B$111,Vendors!A76))</f>
        <v>1</v>
      </c>
      <c r="C76" s="13" t="s">
        <v>53</v>
      </c>
      <c r="D76" s="10">
        <f>IF(COUNTIF('Online Roster'!$B$3:$B$111,Vendors!C76)=0,COUNTIF('Online Roster'!$K$3:$K$111,Vendors!C76),COUNTIF('Online Roster'!$B$3:$B$111,Vendors!C76))</f>
        <v>1</v>
      </c>
    </row>
    <row r="77" spans="1:4" x14ac:dyDescent="0.2">
      <c r="A77" s="13" t="s">
        <v>463</v>
      </c>
      <c r="B77" s="10">
        <f>IF(COUNTIF('Online Roster'!$B$3:$B$111,Vendors!A77)=0,COUNTIF('Online Roster'!$K$3:$K$111,Vendors!A77),COUNTIF('Online Roster'!$B$3:$B$111,Vendors!A77))</f>
        <v>1</v>
      </c>
      <c r="C77" s="13" t="s">
        <v>463</v>
      </c>
      <c r="D77" s="10">
        <f>IF(COUNTIF('Online Roster'!$B$3:$B$111,Vendors!C77)=0,COUNTIF('Online Roster'!$K$3:$K$111,Vendors!C77),COUNTIF('Online Roster'!$B$3:$B$111,Vendors!C77))</f>
        <v>1</v>
      </c>
    </row>
    <row r="78" spans="1:4" x14ac:dyDescent="0.2">
      <c r="A78" s="13" t="s">
        <v>24</v>
      </c>
      <c r="B78" s="10">
        <f>IF(COUNTIF('Online Roster'!$B$3:$B$111,Vendors!A78)=0,COUNTIF('Online Roster'!$K$3:$K$111,Vendors!A78),COUNTIF('Online Roster'!$B$3:$B$111,Vendors!A78))</f>
        <v>1</v>
      </c>
      <c r="C78" s="13" t="s">
        <v>24</v>
      </c>
      <c r="D78" s="10">
        <f>IF(COUNTIF('Online Roster'!$B$3:$B$111,Vendors!C78)=0,COUNTIF('Online Roster'!$K$3:$K$111,Vendors!C78),COUNTIF('Online Roster'!$B$3:$B$111,Vendors!C78))</f>
        <v>1</v>
      </c>
    </row>
    <row r="79" spans="1:4" x14ac:dyDescent="0.2">
      <c r="A79" s="13" t="s">
        <v>67</v>
      </c>
      <c r="B79" s="10">
        <f>IF(COUNTIF('Online Roster'!$B$3:$B$111,Vendors!A79)=0,COUNTIF('Online Roster'!$K$3:$K$111,Vendors!A79),COUNTIF('Online Roster'!$B$3:$B$111,Vendors!A79))</f>
        <v>1</v>
      </c>
      <c r="C79" s="13" t="s">
        <v>67</v>
      </c>
      <c r="D79" s="10">
        <f>IF(COUNTIF('Online Roster'!$B$3:$B$111,Vendors!C79)=0,COUNTIF('Online Roster'!$K$3:$K$111,Vendors!C79),COUNTIF('Online Roster'!$B$3:$B$111,Vendors!C79))</f>
        <v>1</v>
      </c>
    </row>
    <row r="80" spans="1:4" x14ac:dyDescent="0.2">
      <c r="A80" s="13" t="s">
        <v>9</v>
      </c>
      <c r="B80" s="10">
        <f>IF(COUNTIF('Online Roster'!$B$3:$B$111,Vendors!A80)=0,COUNTIF('Online Roster'!$K$3:$K$111,Vendors!A80),COUNTIF('Online Roster'!$B$3:$B$111,Vendors!A80))</f>
        <v>1</v>
      </c>
      <c r="C80" s="13" t="s">
        <v>9</v>
      </c>
      <c r="D80" s="10">
        <f>IF(COUNTIF('Online Roster'!$B$3:$B$111,Vendors!C80)=0,COUNTIF('Online Roster'!$K$3:$K$111,Vendors!C80),COUNTIF('Online Roster'!$B$3:$B$111,Vendors!C80))</f>
        <v>1</v>
      </c>
    </row>
    <row r="81" spans="1:4" x14ac:dyDescent="0.2">
      <c r="A81" s="13" t="s">
        <v>280</v>
      </c>
      <c r="B81" s="10">
        <f>IF(COUNTIF('Online Roster'!$B$3:$B$111,Vendors!A81)=0,COUNTIF('Online Roster'!$K$3:$K$111,Vendors!A81),COUNTIF('Online Roster'!$B$3:$B$111,Vendors!A81))</f>
        <v>1</v>
      </c>
      <c r="C81" s="13" t="s">
        <v>280</v>
      </c>
      <c r="D81" s="10">
        <f>IF(COUNTIF('Online Roster'!$B$3:$B$111,Vendors!C81)=0,COUNTIF('Online Roster'!$K$3:$K$111,Vendors!C81),COUNTIF('Online Roster'!$B$3:$B$111,Vendors!C81))</f>
        <v>1</v>
      </c>
    </row>
    <row r="82" spans="1:4" x14ac:dyDescent="0.2">
      <c r="A82" s="13" t="s">
        <v>11</v>
      </c>
      <c r="B82" s="10">
        <f>IF(COUNTIF('Online Roster'!$B$3:$B$111,Vendors!A82)=0,COUNTIF('Online Roster'!$K$3:$K$111,Vendors!A82),COUNTIF('Online Roster'!$B$3:$B$111,Vendors!A82))</f>
        <v>1</v>
      </c>
      <c r="C82" s="13" t="s">
        <v>11</v>
      </c>
      <c r="D82" s="10">
        <f>IF(COUNTIF('Online Roster'!$B$3:$B$111,Vendors!C82)=0,COUNTIF('Online Roster'!$K$3:$K$111,Vendors!C82),COUNTIF('Online Roster'!$B$3:$B$111,Vendors!C82))</f>
        <v>1</v>
      </c>
    </row>
    <row r="83" spans="1:4" x14ac:dyDescent="0.2">
      <c r="A83" s="13" t="s">
        <v>58</v>
      </c>
      <c r="B83" s="10">
        <f>IF(COUNTIF('Online Roster'!$B$3:$B$111,Vendors!A83)=0,COUNTIF('Online Roster'!$K$3:$K$111,Vendors!A83),COUNTIF('Online Roster'!$B$3:$B$111,Vendors!A83))</f>
        <v>1</v>
      </c>
      <c r="C83" s="13" t="s">
        <v>58</v>
      </c>
      <c r="D83" s="10">
        <f>IF(COUNTIF('Online Roster'!$B$3:$B$111,Vendors!C83)=0,COUNTIF('Online Roster'!$K$3:$K$111,Vendors!C83),COUNTIF('Online Roster'!$B$3:$B$111,Vendors!C83))</f>
        <v>1</v>
      </c>
    </row>
    <row r="84" spans="1:4" x14ac:dyDescent="0.2">
      <c r="A84" s="13" t="s">
        <v>304</v>
      </c>
      <c r="B84" s="10">
        <f>IF(COUNTIF('Online Roster'!$B$3:$B$111,Vendors!A84)=0,COUNTIF('Online Roster'!$K$3:$K$111,Vendors!A84),COUNTIF('Online Roster'!$B$3:$B$111,Vendors!A84))</f>
        <v>1</v>
      </c>
      <c r="C84" s="13" t="s">
        <v>304</v>
      </c>
      <c r="D84" s="10">
        <f>IF(COUNTIF('Online Roster'!$B$3:$B$111,Vendors!C84)=0,COUNTIF('Online Roster'!$K$3:$K$111,Vendors!C84),COUNTIF('Online Roster'!$B$3:$B$111,Vendors!C84))</f>
        <v>1</v>
      </c>
    </row>
    <row r="85" spans="1:4" x14ac:dyDescent="0.2">
      <c r="A85" s="13" t="s">
        <v>274</v>
      </c>
      <c r="B85" s="10">
        <f>IF(COUNTIF('Online Roster'!$B$3:$B$111,Vendors!A85)=0,COUNTIF('Online Roster'!$K$3:$K$111,Vendors!A85),COUNTIF('Online Roster'!$B$3:$B$111,Vendors!A85))</f>
        <v>1</v>
      </c>
      <c r="C85" s="13" t="s">
        <v>274</v>
      </c>
      <c r="D85" s="10">
        <f>IF(COUNTIF('Online Roster'!$B$3:$B$111,Vendors!C85)=0,COUNTIF('Online Roster'!$K$3:$K$111,Vendors!C85),COUNTIF('Online Roster'!$B$3:$B$111,Vendors!C85))</f>
        <v>1</v>
      </c>
    </row>
    <row r="86" spans="1:4" x14ac:dyDescent="0.2">
      <c r="A86" s="13" t="s">
        <v>288</v>
      </c>
      <c r="B86" s="10">
        <f>IF(COUNTIF('Online Roster'!$B$3:$B$111,Vendors!A86)=0,COUNTIF('Online Roster'!$K$3:$K$111,Vendors!A86),COUNTIF('Online Roster'!$B$3:$B$111,Vendors!A86))</f>
        <v>1</v>
      </c>
      <c r="C86" s="13" t="s">
        <v>288</v>
      </c>
      <c r="D86" s="10">
        <f>IF(COUNTIF('Online Roster'!$B$3:$B$111,Vendors!C86)=0,COUNTIF('Online Roster'!$K$3:$K$111,Vendors!C86),COUNTIF('Online Roster'!$B$3:$B$111,Vendors!C86))</f>
        <v>1</v>
      </c>
    </row>
    <row r="87" spans="1:4" x14ac:dyDescent="0.2">
      <c r="A87" s="13" t="s">
        <v>62</v>
      </c>
      <c r="B87" s="10">
        <f>IF(COUNTIF('Online Roster'!$B$3:$B$111,Vendors!A87)=0,COUNTIF('Online Roster'!$K$3:$K$111,Vendors!A87),COUNTIF('Online Roster'!$B$3:$B$111,Vendors!A87))</f>
        <v>1</v>
      </c>
      <c r="C87" s="13" t="s">
        <v>62</v>
      </c>
      <c r="D87" s="10">
        <f>IF(COUNTIF('Online Roster'!$B$3:$B$111,Vendors!C87)=0,COUNTIF('Online Roster'!$K$3:$K$111,Vendors!C87),COUNTIF('Online Roster'!$B$3:$B$111,Vendors!C87))</f>
        <v>1</v>
      </c>
    </row>
    <row r="88" spans="1:4" x14ac:dyDescent="0.2">
      <c r="A88" s="13" t="s">
        <v>305</v>
      </c>
      <c r="B88" s="10">
        <f>IF(COUNTIF('Online Roster'!$B$3:$B$111,Vendors!A88)=0,COUNTIF('Online Roster'!$K$3:$K$111,Vendors!A88),COUNTIF('Online Roster'!$B$3:$B$111,Vendors!A88))</f>
        <v>1</v>
      </c>
      <c r="C88" s="13" t="s">
        <v>305</v>
      </c>
      <c r="D88" s="10">
        <f>IF(COUNTIF('Online Roster'!$B$3:$B$111,Vendors!C88)=0,COUNTIF('Online Roster'!$K$3:$K$111,Vendors!C88),COUNTIF('Online Roster'!$B$3:$B$111,Vendors!C88))</f>
        <v>1</v>
      </c>
    </row>
    <row r="89" spans="1:4" x14ac:dyDescent="0.2">
      <c r="A89" s="13" t="s">
        <v>285</v>
      </c>
      <c r="B89" s="10">
        <f>IF(COUNTIF('Online Roster'!$B$3:$B$111,Vendors!A89)=0,COUNTIF('Online Roster'!$K$3:$K$111,Vendors!A89),COUNTIF('Online Roster'!$B$3:$B$111,Vendors!A89))</f>
        <v>1</v>
      </c>
      <c r="C89" s="13" t="s">
        <v>285</v>
      </c>
      <c r="D89" s="10">
        <f>IF(COUNTIF('Online Roster'!$B$3:$B$111,Vendors!C89)=0,COUNTIF('Online Roster'!$K$3:$K$111,Vendors!C89),COUNTIF('Online Roster'!$B$3:$B$111,Vendors!C89))</f>
        <v>1</v>
      </c>
    </row>
    <row r="90" spans="1:4" x14ac:dyDescent="0.2">
      <c r="A90" s="13" t="s">
        <v>277</v>
      </c>
      <c r="B90" s="10">
        <f>IF(COUNTIF('Online Roster'!$B$3:$B$111,Vendors!A90)=0,COUNTIF('Online Roster'!$K$3:$K$111,Vendors!A90),COUNTIF('Online Roster'!$B$3:$B$111,Vendors!A90))</f>
        <v>1</v>
      </c>
      <c r="C90" s="13" t="s">
        <v>277</v>
      </c>
      <c r="D90" s="10">
        <f>IF(COUNTIF('Online Roster'!$B$3:$B$111,Vendors!C90)=0,COUNTIF('Online Roster'!$K$3:$K$111,Vendors!C90),COUNTIF('Online Roster'!$B$3:$B$111,Vendors!C90))</f>
        <v>1</v>
      </c>
    </row>
    <row r="91" spans="1:4" x14ac:dyDescent="0.2">
      <c r="A91" s="13" t="s">
        <v>60</v>
      </c>
      <c r="B91" s="10">
        <f>IF(COUNTIF('Online Roster'!$B$3:$B$111,Vendors!A91)=0,COUNTIF('Online Roster'!$K$3:$K$111,Vendors!A91),COUNTIF('Online Roster'!$B$3:$B$111,Vendors!A91))</f>
        <v>1</v>
      </c>
      <c r="C91" s="13" t="s">
        <v>60</v>
      </c>
      <c r="D91" s="10">
        <f>IF(COUNTIF('Online Roster'!$B$3:$B$111,Vendors!C91)=0,COUNTIF('Online Roster'!$K$3:$K$111,Vendors!C91),COUNTIF('Online Roster'!$B$3:$B$111,Vendors!C91))</f>
        <v>1</v>
      </c>
    </row>
    <row r="92" spans="1:4" x14ac:dyDescent="0.2">
      <c r="A92" s="13" t="s">
        <v>306</v>
      </c>
      <c r="B92" s="10">
        <f>IF(COUNTIF('Online Roster'!$B$3:$B$111,Vendors!A92)=0,COUNTIF('Online Roster'!$K$3:$K$111,Vendors!A92),COUNTIF('Online Roster'!$B$3:$B$111,Vendors!A92))</f>
        <v>0</v>
      </c>
      <c r="C92" s="13" t="s">
        <v>306</v>
      </c>
      <c r="D92" s="10">
        <f>IF(COUNTIF('Online Roster'!$B$3:$B$111,Vendors!C92)=0,COUNTIF('Online Roster'!$K$3:$K$111,Vendors!C92),COUNTIF('Online Roster'!$B$3:$B$111,Vendors!C92))</f>
        <v>0</v>
      </c>
    </row>
    <row r="93" spans="1:4" x14ac:dyDescent="0.2">
      <c r="A93" s="13" t="s">
        <v>284</v>
      </c>
      <c r="B93" s="10">
        <f>IF(COUNTIF('Online Roster'!$B$3:$B$111,Vendors!A93)=0,COUNTIF('Online Roster'!$K$3:$K$111,Vendors!A93),COUNTIF('Online Roster'!$B$3:$B$111,Vendors!A93))</f>
        <v>0</v>
      </c>
      <c r="C93" s="13" t="s">
        <v>284</v>
      </c>
      <c r="D93" s="10">
        <f>IF(COUNTIF('Online Roster'!$B$3:$B$111,Vendors!C93)=0,COUNTIF('Online Roster'!$K$3:$K$111,Vendors!C93),COUNTIF('Online Roster'!$B$3:$B$111,Vendors!C93))</f>
        <v>0</v>
      </c>
    </row>
    <row r="94" spans="1:4" x14ac:dyDescent="0.2">
      <c r="A94" s="13" t="s">
        <v>5</v>
      </c>
      <c r="B94" s="10">
        <f>IF(COUNTIF('Online Roster'!$B$3:$B$111,Vendors!A94)=0,COUNTIF('Online Roster'!$K$3:$K$111,Vendors!A94),COUNTIF('Online Roster'!$B$3:$B$111,Vendors!A94))</f>
        <v>1</v>
      </c>
      <c r="C94" s="13" t="s">
        <v>5</v>
      </c>
      <c r="D94" s="10">
        <f>IF(COUNTIF('Online Roster'!$B$3:$B$111,Vendors!C94)=0,COUNTIF('Online Roster'!$K$3:$K$111,Vendors!C94),COUNTIF('Online Roster'!$B$3:$B$111,Vendors!C94))</f>
        <v>1</v>
      </c>
    </row>
    <row r="95" spans="1:4" x14ac:dyDescent="0.2">
      <c r="A95" s="13" t="s">
        <v>18</v>
      </c>
      <c r="B95" s="10">
        <f>IF(COUNTIF('Online Roster'!$B$3:$B$111,Vendors!A95)=0,COUNTIF('Online Roster'!$K$3:$K$111,Vendors!A95),COUNTIF('Online Roster'!$B$3:$B$111,Vendors!A95))</f>
        <v>1</v>
      </c>
      <c r="C95" s="13" t="s">
        <v>18</v>
      </c>
      <c r="D95" s="10">
        <f>IF(COUNTIF('Online Roster'!$B$3:$B$111,Vendors!C95)=0,COUNTIF('Online Roster'!$K$3:$K$111,Vendors!C95),COUNTIF('Online Roster'!$B$3:$B$111,Vendors!C95))</f>
        <v>1</v>
      </c>
    </row>
    <row r="96" spans="1:4" x14ac:dyDescent="0.2">
      <c r="A96" s="13" t="s">
        <v>28</v>
      </c>
      <c r="B96" s="10">
        <f>IF(COUNTIF('Online Roster'!$B$3:$B$111,Vendors!A96)=0,COUNTIF('Online Roster'!$K$3:$K$111,Vendors!A96),COUNTIF('Online Roster'!$B$3:$B$111,Vendors!A96))</f>
        <v>1</v>
      </c>
      <c r="C96" s="13" t="s">
        <v>28</v>
      </c>
      <c r="D96" s="10">
        <f>IF(COUNTIF('Online Roster'!$B$3:$B$111,Vendors!C96)=0,COUNTIF('Online Roster'!$K$3:$K$111,Vendors!C96),COUNTIF('Online Roster'!$B$3:$B$111,Vendors!C96))</f>
        <v>1</v>
      </c>
    </row>
    <row r="97" spans="1:4" x14ac:dyDescent="0.2">
      <c r="A97" s="13" t="s">
        <v>52</v>
      </c>
      <c r="B97" s="10">
        <f>IF(COUNTIF('Online Roster'!$B$3:$B$111,Vendors!A97)=0,COUNTIF('Online Roster'!$K$3:$K$111,Vendors!A97),COUNTIF('Online Roster'!$B$3:$B$111,Vendors!A97))</f>
        <v>1</v>
      </c>
      <c r="C97" s="13" t="s">
        <v>52</v>
      </c>
      <c r="D97" s="10">
        <f>IF(COUNTIF('Online Roster'!$B$3:$B$111,Vendors!C97)=0,COUNTIF('Online Roster'!$K$3:$K$111,Vendors!C97),COUNTIF('Online Roster'!$B$3:$B$111,Vendors!C97))</f>
        <v>1</v>
      </c>
    </row>
    <row r="98" spans="1:4" x14ac:dyDescent="0.2">
      <c r="A98" s="13" t="s">
        <v>17</v>
      </c>
      <c r="B98" s="10">
        <f>IF(COUNTIF('Online Roster'!$B$3:$B$111,Vendors!A98)=0,COUNTIF('Online Roster'!$K$3:$K$111,Vendors!A98),COUNTIF('Online Roster'!$B$3:$B$111,Vendors!A98))</f>
        <v>1</v>
      </c>
      <c r="C98" s="13" t="s">
        <v>17</v>
      </c>
      <c r="D98" s="10">
        <f>IF(COUNTIF('Online Roster'!$B$3:$B$111,Vendors!C98)=0,COUNTIF('Online Roster'!$K$3:$K$111,Vendors!C98),COUNTIF('Online Roster'!$B$3:$B$111,Vendors!C98))</f>
        <v>1</v>
      </c>
    </row>
    <row r="99" spans="1:4" x14ac:dyDescent="0.2">
      <c r="A99" s="13" t="s">
        <v>31</v>
      </c>
      <c r="B99" s="10">
        <f>IF(COUNTIF('Online Roster'!$B$3:$B$111,Vendors!A99)=0,COUNTIF('Online Roster'!$K$3:$K$111,Vendors!A99),COUNTIF('Online Roster'!$B$3:$B$111,Vendors!A99))</f>
        <v>1</v>
      </c>
      <c r="C99" s="13" t="s">
        <v>31</v>
      </c>
      <c r="D99" s="10">
        <f>IF(COUNTIF('Online Roster'!$B$3:$B$111,Vendors!C99)=0,COUNTIF('Online Roster'!$K$3:$K$111,Vendors!C99),COUNTIF('Online Roster'!$B$3:$B$111,Vendors!C99))</f>
        <v>1</v>
      </c>
    </row>
    <row r="100" spans="1:4" x14ac:dyDescent="0.2">
      <c r="A100" s="13" t="s">
        <v>48</v>
      </c>
      <c r="B100" s="10">
        <f>IF(COUNTIF('Online Roster'!$B$3:$B$111,Vendors!A100)=0,COUNTIF('Online Roster'!$K$3:$K$111,Vendors!A100),COUNTIF('Online Roster'!$B$3:$B$111,Vendors!A100))</f>
        <v>0</v>
      </c>
      <c r="C100" s="13" t="s">
        <v>286</v>
      </c>
      <c r="D100" s="10">
        <f>IF(COUNTIF('Online Roster'!$B$3:$B$111,Vendors!C100)=0,COUNTIF('Online Roster'!$K$3:$K$111,Vendors!C100),COUNTIF('Online Roster'!$B$3:$B$111,Vendors!C100))</f>
        <v>1</v>
      </c>
    </row>
    <row r="101" spans="1:4" x14ac:dyDescent="0.2">
      <c r="A101" s="13" t="s">
        <v>32</v>
      </c>
      <c r="B101" s="10">
        <f>IF(COUNTIF('Online Roster'!$B$3:$B$111,Vendors!A101)=0,COUNTIF('Online Roster'!$K$3:$K$111,Vendors!A101),COUNTIF('Online Roster'!$B$3:$B$111,Vendors!A101))</f>
        <v>1</v>
      </c>
      <c r="C101" s="13" t="s">
        <v>32</v>
      </c>
      <c r="D101" s="10">
        <f>IF(COUNTIF('Online Roster'!$B$3:$B$111,Vendors!C101)=0,COUNTIF('Online Roster'!$K$3:$K$111,Vendors!C101),COUNTIF('Online Roster'!$B$3:$B$111,Vendors!C101))</f>
        <v>1</v>
      </c>
    </row>
    <row r="102" spans="1:4" x14ac:dyDescent="0.2">
      <c r="A102" s="13" t="s">
        <v>270</v>
      </c>
      <c r="B102" s="10">
        <f>IF(COUNTIF('Online Roster'!$B$3:$B$111,Vendors!A102)=0,COUNTIF('Online Roster'!$K$3:$K$111,Vendors!A102),COUNTIF('Online Roster'!$B$3:$B$111,Vendors!A102))</f>
        <v>1</v>
      </c>
      <c r="C102" s="13" t="s">
        <v>270</v>
      </c>
      <c r="D102" s="10">
        <f>IF(COUNTIF('Online Roster'!$B$3:$B$111,Vendors!C102)=0,COUNTIF('Online Roster'!$K$3:$K$111,Vendors!C102),COUNTIF('Online Roster'!$B$3:$B$111,Vendors!C102))</f>
        <v>1</v>
      </c>
    </row>
    <row r="103" spans="1:4" x14ac:dyDescent="0.2">
      <c r="A103" s="13" t="s">
        <v>56</v>
      </c>
      <c r="B103" s="10">
        <f>IF(COUNTIF('Online Roster'!$B$3:$B$111,Vendors!A103)=0,COUNTIF('Online Roster'!$K$3:$K$111,Vendors!A103),COUNTIF('Online Roster'!$B$3:$B$111,Vendors!A103))</f>
        <v>1</v>
      </c>
      <c r="C103" s="13" t="s">
        <v>56</v>
      </c>
      <c r="D103" s="10">
        <f>IF(COUNTIF('Online Roster'!$B$3:$B$111,Vendors!C103)=0,COUNTIF('Online Roster'!$K$3:$K$111,Vendors!C103),COUNTIF('Online Roster'!$B$3:$B$111,Vendors!C103))</f>
        <v>1</v>
      </c>
    </row>
    <row r="104" spans="1:4" x14ac:dyDescent="0.2">
      <c r="A104" s="13" t="s">
        <v>302</v>
      </c>
      <c r="B104" s="10">
        <f>IF(COUNTIF('Online Roster'!$B$3:$B$111,Vendors!A104)=0,COUNTIF('Online Roster'!$K$3:$K$111,Vendors!A104),COUNTIF('Online Roster'!$B$3:$B$111,Vendors!A104))</f>
        <v>1</v>
      </c>
      <c r="C104" s="13" t="s">
        <v>302</v>
      </c>
      <c r="D104" s="10">
        <f>IF(COUNTIF('Online Roster'!$B$3:$B$111,Vendors!C104)=0,COUNTIF('Online Roster'!$K$3:$K$111,Vendors!C104),COUNTIF('Online Roster'!$B$3:$B$111,Vendors!C104))</f>
        <v>1</v>
      </c>
    </row>
    <row r="105" spans="1:4" x14ac:dyDescent="0.2">
      <c r="A105" s="13" t="s">
        <v>15</v>
      </c>
      <c r="B105" s="10">
        <f>IF(COUNTIF('Online Roster'!$B$3:$B$111,Vendors!A105)=0,COUNTIF('Online Roster'!$K$3:$K$111,Vendors!A105),COUNTIF('Online Roster'!$B$3:$B$111,Vendors!A105))</f>
        <v>1</v>
      </c>
      <c r="C105" s="13" t="s">
        <v>15</v>
      </c>
      <c r="D105" s="10">
        <f>IF(COUNTIF('Online Roster'!$B$3:$B$111,Vendors!C105)=0,COUNTIF('Online Roster'!$K$3:$K$111,Vendors!C105),COUNTIF('Online Roster'!$B$3:$B$111,Vendors!C105))</f>
        <v>1</v>
      </c>
    </row>
    <row r="106" spans="1:4" x14ac:dyDescent="0.2">
      <c r="A106" s="13" t="s">
        <v>298</v>
      </c>
      <c r="B106" s="10">
        <f>IF(COUNTIF('Online Roster'!$B$3:$B$111,Vendors!A106)=0,COUNTIF('Online Roster'!$K$3:$K$111,Vendors!A106),COUNTIF('Online Roster'!$B$3:$B$111,Vendors!A106))</f>
        <v>1</v>
      </c>
      <c r="C106" s="13" t="s">
        <v>298</v>
      </c>
      <c r="D106" s="10">
        <f>IF(COUNTIF('Online Roster'!$B$3:$B$111,Vendors!C106)=0,COUNTIF('Online Roster'!$K$3:$K$111,Vendors!C106),COUNTIF('Online Roster'!$B$3:$B$111,Vendors!C106))</f>
        <v>1</v>
      </c>
    </row>
    <row r="107" spans="1:4" x14ac:dyDescent="0.2">
      <c r="A107" s="13" t="s">
        <v>13</v>
      </c>
      <c r="B107" s="10">
        <f>IF(COUNTIF('Online Roster'!$B$3:$B$111,Vendors!A107)=0,COUNTIF('Online Roster'!$K$3:$K$111,Vendors!A107),COUNTIF('Online Roster'!$B$3:$B$111,Vendors!A107))</f>
        <v>1</v>
      </c>
      <c r="C107" s="13" t="s">
        <v>13</v>
      </c>
      <c r="D107" s="10">
        <f>IF(COUNTIF('Online Roster'!$B$3:$B$111,Vendors!C107)=0,COUNTIF('Online Roster'!$K$3:$K$111,Vendors!C107),COUNTIF('Online Roster'!$B$3:$B$111,Vendors!C107))</f>
        <v>1</v>
      </c>
    </row>
    <row r="108" spans="1:4" x14ac:dyDescent="0.2">
      <c r="A108" s="13" t="s">
        <v>279</v>
      </c>
      <c r="B108" s="10">
        <f>IF(COUNTIF('Online Roster'!$B$3:$B$111,Vendors!A108)=0,COUNTIF('Online Roster'!$K$3:$K$111,Vendors!A108),COUNTIF('Online Roster'!$B$3:$B$111,Vendors!A108))</f>
        <v>1</v>
      </c>
      <c r="C108" s="13" t="s">
        <v>279</v>
      </c>
      <c r="D108" s="10">
        <f>IF(COUNTIF('Online Roster'!$B$3:$B$111,Vendors!C108)=0,COUNTIF('Online Roster'!$K$3:$K$111,Vendors!C108),COUNTIF('Online Roster'!$B$3:$B$111,Vendors!C108))</f>
        <v>1</v>
      </c>
    </row>
    <row r="109" spans="1:4" x14ac:dyDescent="0.2">
      <c r="A109" s="13" t="s">
        <v>577</v>
      </c>
      <c r="B109" s="10">
        <f>IF(COUNTIF('Online Roster'!$B$3:$B$111,Vendors!A109)=0,COUNTIF('Online Roster'!$K$3:$K$111,Vendors!A109),COUNTIF('Online Roster'!$B$3:$B$111,Vendors!A109))</f>
        <v>1</v>
      </c>
      <c r="C109" s="13" t="s">
        <v>577</v>
      </c>
      <c r="D109" s="10">
        <f>IF(COUNTIF('Online Roster'!$B$3:$B$111,Vendors!C109)=0,COUNTIF('Online Roster'!$K$3:$K$111,Vendors!C109),COUNTIF('Online Roster'!$B$3:$B$111,Vendors!C109))</f>
        <v>1</v>
      </c>
    </row>
    <row r="110" spans="1:4" x14ac:dyDescent="0.2">
      <c r="A110" s="13" t="s">
        <v>1</v>
      </c>
      <c r="B110" s="10">
        <f>IF(COUNTIF('Online Roster'!$B$3:$B$111,Vendors!A110)=0,COUNTIF('Online Roster'!$K$3:$K$111,Vendors!A110),COUNTIF('Online Roster'!$B$3:$B$111,Vendors!A110))</f>
        <v>1</v>
      </c>
      <c r="C110" s="13" t="s">
        <v>1</v>
      </c>
      <c r="D110" s="10">
        <f>IF(COUNTIF('Online Roster'!$B$3:$B$111,Vendors!C110)=0,COUNTIF('Online Roster'!$K$3:$K$111,Vendors!C110),COUNTIF('Online Roster'!$B$3:$B$111,Vendors!C110))</f>
        <v>1</v>
      </c>
    </row>
    <row r="111" spans="1:4" x14ac:dyDescent="0.2">
      <c r="A111" s="13" t="s">
        <v>27</v>
      </c>
      <c r="B111" s="10">
        <f>IF(COUNTIF('Online Roster'!$B$3:$B$111,Vendors!A111)=0,COUNTIF('Online Roster'!$K$3:$K$111,Vendors!A111),COUNTIF('Online Roster'!$B$3:$B$111,Vendors!A111))</f>
        <v>1</v>
      </c>
      <c r="C111" s="13" t="s">
        <v>27</v>
      </c>
      <c r="D111" s="10">
        <f>IF(COUNTIF('Online Roster'!$B$3:$B$111,Vendors!C111)=0,COUNTIF('Online Roster'!$K$3:$K$111,Vendors!C111),COUNTIF('Online Roster'!$B$3:$B$111,Vendors!C111))</f>
        <v>1</v>
      </c>
    </row>
    <row r="112" spans="1:4" x14ac:dyDescent="0.2">
      <c r="A112" s="13" t="s">
        <v>42</v>
      </c>
      <c r="B112" s="10">
        <f>IF(COUNTIF('Online Roster'!$B$3:$B$111,Vendors!A112)=0,COUNTIF('Online Roster'!$K$3:$K$111,Vendors!A112),COUNTIF('Online Roster'!$B$3:$B$111,Vendors!A112))</f>
        <v>1</v>
      </c>
      <c r="C112" s="13" t="s">
        <v>42</v>
      </c>
      <c r="D112" s="10">
        <f>IF(COUNTIF('Online Roster'!$B$3:$B$111,Vendors!C112)=0,COUNTIF('Online Roster'!$K$3:$K$111,Vendors!C112),COUNTIF('Online Roster'!$B$3:$B$111,Vendors!C112))</f>
        <v>1</v>
      </c>
    </row>
    <row r="113" spans="3:3" x14ac:dyDescent="0.2">
      <c r="C113" s="15" t="s">
        <v>578</v>
      </c>
    </row>
    <row r="114" spans="3:3" x14ac:dyDescent="0.2">
      <c r="C114" t="s">
        <v>307</v>
      </c>
    </row>
    <row r="115" spans="3:3" x14ac:dyDescent="0.2">
      <c r="C115" t="s">
        <v>307</v>
      </c>
    </row>
  </sheetData>
  <sortState xmlns:xlrd2="http://schemas.microsoft.com/office/spreadsheetml/2017/richdata2" ref="C3:C113">
    <sortCondition ref="C3:C113"/>
  </sortState>
  <mergeCells count="3">
    <mergeCell ref="A1:B1"/>
    <mergeCell ref="C1:D1"/>
    <mergeCell ref="E1:F1"/>
  </mergeCells>
  <conditionalFormatting sqref="B3:B11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DD14-9071-4A27-BE03-B6A02B75C78B}">
  <dimension ref="A1:N113"/>
  <sheetViews>
    <sheetView topLeftCell="A100" workbookViewId="0">
      <selection activeCell="N3" sqref="N3"/>
    </sheetView>
  </sheetViews>
  <sheetFormatPr defaultRowHeight="15" x14ac:dyDescent="0.2"/>
  <cols>
    <col min="2" max="2" width="20.04296875" style="9" customWidth="1"/>
    <col min="8" max="8" width="13.71875" customWidth="1"/>
    <col min="9" max="9" width="14.9296875" customWidth="1"/>
    <col min="10" max="10" width="18.83203125" customWidth="1"/>
    <col min="11" max="11" width="16.27734375" customWidth="1"/>
    <col min="12" max="12" width="24.75" customWidth="1"/>
    <col min="13" max="13" width="11.02734375" customWidth="1"/>
  </cols>
  <sheetData>
    <row r="1" spans="1:14" x14ac:dyDescent="0.2">
      <c r="A1" s="107" t="s">
        <v>309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4" ht="15.75" thickBot="1" x14ac:dyDescent="0.25">
      <c r="A2" s="1" t="s">
        <v>310</v>
      </c>
      <c r="B2" s="8" t="s">
        <v>311</v>
      </c>
      <c r="C2" s="1" t="s">
        <v>312</v>
      </c>
      <c r="D2" s="1" t="s">
        <v>313</v>
      </c>
      <c r="E2" s="1" t="s">
        <v>314</v>
      </c>
      <c r="F2" s="1" t="s">
        <v>315</v>
      </c>
      <c r="G2" s="1" t="s">
        <v>316</v>
      </c>
      <c r="H2" s="1" t="s">
        <v>317</v>
      </c>
      <c r="I2" s="1" t="s">
        <v>318</v>
      </c>
      <c r="J2" s="1" t="s">
        <v>319</v>
      </c>
      <c r="K2" s="1" t="s">
        <v>575</v>
      </c>
      <c r="L2" s="1" t="s">
        <v>574</v>
      </c>
      <c r="M2" t="s">
        <v>706</v>
      </c>
      <c r="N2" s="1" t="s">
        <v>920</v>
      </c>
    </row>
    <row r="3" spans="1:14" ht="27.75" thickBot="1" x14ac:dyDescent="0.25">
      <c r="A3" s="2">
        <v>13</v>
      </c>
      <c r="B3" s="9" t="s">
        <v>276</v>
      </c>
      <c r="C3" s="3" t="s">
        <v>93</v>
      </c>
      <c r="D3" s="4">
        <v>45786</v>
      </c>
      <c r="E3" s="5">
        <v>145</v>
      </c>
      <c r="F3" s="5" t="s">
        <v>343</v>
      </c>
      <c r="G3" s="3" t="s">
        <v>323</v>
      </c>
      <c r="H3" s="3" t="s">
        <v>410</v>
      </c>
      <c r="I3" s="3" t="s">
        <v>411</v>
      </c>
      <c r="J3" s="6" t="s">
        <v>412</v>
      </c>
      <c r="K3" s="11" t="str" cm="1">
        <f t="array" ref="K3">_xlfn.LET(
    _xlpm.name, TRIM(B3),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Ernest Campbell</v>
      </c>
      <c r="L3" t="str" cm="1">
        <f t="array" ref="L3">_xlfn.LET(
    _xlpm.name, TRIM(B3),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Campbell_Ernest_25</v>
      </c>
      <c r="M3" s="3" t="s">
        <v>93</v>
      </c>
      <c r="N3" t="str">
        <f>Table5[[#This Row],[Yr.]]</f>
        <v>R-Fr.</v>
      </c>
    </row>
    <row r="4" spans="1:14" ht="27.75" thickBot="1" x14ac:dyDescent="0.25">
      <c r="A4" s="2">
        <v>8</v>
      </c>
      <c r="B4" s="9" t="s">
        <v>15</v>
      </c>
      <c r="C4" s="3" t="s">
        <v>93</v>
      </c>
      <c r="D4" s="4">
        <v>45786</v>
      </c>
      <c r="E4" s="5">
        <v>157</v>
      </c>
      <c r="F4" s="5" t="s">
        <v>327</v>
      </c>
      <c r="G4" s="3" t="s">
        <v>323</v>
      </c>
      <c r="H4" s="3" t="s">
        <v>382</v>
      </c>
      <c r="I4" s="3" t="s">
        <v>383</v>
      </c>
      <c r="J4" s="6" t="s">
        <v>384</v>
      </c>
      <c r="K4" s="11" t="str" cm="1">
        <f t="array" ref="K4">_xlfn.LET(
    _xlpm.name, TRIM(B4),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Tim Conerly</v>
      </c>
      <c r="L4" t="str" cm="1">
        <f t="array" ref="L4">_xlfn.LET(
    _xlpm.name, TRIM(B4),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Conerly_Tim_25</v>
      </c>
      <c r="M4" s="3" t="s">
        <v>93</v>
      </c>
      <c r="N4" t="str">
        <f>Table5[[#This Row],[Yr.]]</f>
        <v>Sr.</v>
      </c>
    </row>
    <row r="5" spans="1:14" ht="15.75" thickBot="1" x14ac:dyDescent="0.25">
      <c r="A5" s="2">
        <v>0</v>
      </c>
      <c r="B5" s="9" t="s">
        <v>320</v>
      </c>
      <c r="C5" s="3" t="s">
        <v>321</v>
      </c>
      <c r="D5" s="4">
        <v>45787</v>
      </c>
      <c r="E5" s="5">
        <v>162</v>
      </c>
      <c r="F5" s="5" t="s">
        <v>322</v>
      </c>
      <c r="G5" s="3" t="s">
        <v>323</v>
      </c>
      <c r="H5" s="3" t="s">
        <v>324</v>
      </c>
      <c r="I5" s="3" t="s">
        <v>325</v>
      </c>
      <c r="J5" s="6" t="s">
        <v>326</v>
      </c>
      <c r="K5" s="11" t="str" cm="1">
        <f t="array" ref="K5">_xlfn.LET(
    _xlpm.name, TRIM(B5),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Ricky Lee</v>
      </c>
      <c r="L5" t="str" cm="1">
        <f t="array" ref="L5">_xlfn.LET(
    _xlpm.name, TRIM(B5),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Lee_Ricky_25</v>
      </c>
      <c r="M5" s="3" t="s">
        <v>321</v>
      </c>
      <c r="N5" t="str">
        <f>Table5[[#This Row],[Yr.]]</f>
        <v>So.</v>
      </c>
    </row>
    <row r="6" spans="1:14" ht="27.75" thickBot="1" x14ac:dyDescent="0.25">
      <c r="A6" s="2">
        <v>17</v>
      </c>
      <c r="B6" s="9" t="s">
        <v>46</v>
      </c>
      <c r="C6" s="3" t="s">
        <v>80</v>
      </c>
      <c r="D6" s="4">
        <v>45783</v>
      </c>
      <c r="E6" s="5">
        <v>162</v>
      </c>
      <c r="F6" s="5" t="s">
        <v>343</v>
      </c>
      <c r="G6" s="3" t="s">
        <v>413</v>
      </c>
      <c r="H6" s="3" t="s">
        <v>430</v>
      </c>
      <c r="I6" s="3" t="s">
        <v>431</v>
      </c>
      <c r="J6" s="6"/>
      <c r="K6" s="11" t="str" cm="1">
        <f t="array" ref="K6">_xlfn.LET(
    _xlpm.name, TRIM(B6),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Ajon Bryant</v>
      </c>
      <c r="L6" t="str" cm="1">
        <f t="array" ref="L6">_xlfn.LET(
    _xlpm.name, TRIM(B6),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Bryant_Ajon_25</v>
      </c>
      <c r="M6" s="3" t="s">
        <v>80</v>
      </c>
      <c r="N6" t="str">
        <f>Table5[[#This Row],[Yr.]]</f>
        <v>R-Fr.</v>
      </c>
    </row>
    <row r="7" spans="1:14" ht="27.75" thickBot="1" x14ac:dyDescent="0.25">
      <c r="A7" s="2">
        <v>20</v>
      </c>
      <c r="B7" s="9" t="s">
        <v>25</v>
      </c>
      <c r="C7" s="3" t="s">
        <v>321</v>
      </c>
      <c r="D7" s="4">
        <v>45787</v>
      </c>
      <c r="E7" s="5">
        <v>164</v>
      </c>
      <c r="F7" s="5" t="s">
        <v>343</v>
      </c>
      <c r="G7" s="3" t="s">
        <v>413</v>
      </c>
      <c r="H7" s="3" t="s">
        <v>432</v>
      </c>
      <c r="I7" s="3" t="s">
        <v>440</v>
      </c>
      <c r="J7" s="6"/>
      <c r="K7" s="11" t="str" cm="1">
        <f t="array" ref="K7">_xlfn.LET(
    _xlpm.name, TRIM(B7),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Adam Taylor</v>
      </c>
      <c r="L7" t="str" cm="1">
        <f t="array" ref="L7">_xlfn.LET(
    _xlpm.name, TRIM(B7),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Taylor_Adam_25</v>
      </c>
      <c r="M7" s="3" t="s">
        <v>321</v>
      </c>
      <c r="N7" t="str">
        <f>Table5[[#This Row],[Yr.]]</f>
        <v>R-Fr.</v>
      </c>
    </row>
    <row r="8" spans="1:14" ht="27.75" thickBot="1" x14ac:dyDescent="0.25">
      <c r="A8" s="2">
        <v>1</v>
      </c>
      <c r="B8" s="9" t="s">
        <v>41</v>
      </c>
      <c r="C8" s="3" t="s">
        <v>80</v>
      </c>
      <c r="D8" s="4">
        <v>45785</v>
      </c>
      <c r="E8" s="5">
        <v>169</v>
      </c>
      <c r="F8" s="5" t="s">
        <v>327</v>
      </c>
      <c r="G8" s="3" t="s">
        <v>323</v>
      </c>
      <c r="H8" s="3" t="s">
        <v>331</v>
      </c>
      <c r="I8" s="3" t="s">
        <v>332</v>
      </c>
      <c r="J8" s="6" t="s">
        <v>333</v>
      </c>
      <c r="K8" s="11" t="str" cm="1">
        <f t="array" ref="K8">_xlfn.LET(
    _xlpm.name, TRIM(B8),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Jamar Curtis</v>
      </c>
      <c r="L8" t="str" cm="1">
        <f t="array" ref="L8">_xlfn.LET(
    _xlpm.name, TRIM(B8),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Curtis_Jamar_25</v>
      </c>
      <c r="M8" s="3" t="s">
        <v>80</v>
      </c>
      <c r="N8" t="str">
        <f>Table5[[#This Row],[Yr.]]</f>
        <v>Sr.</v>
      </c>
    </row>
    <row r="9" spans="1:14" ht="15.75" thickBot="1" x14ac:dyDescent="0.25">
      <c r="A9" s="2">
        <v>83</v>
      </c>
      <c r="B9" s="9" t="s">
        <v>19</v>
      </c>
      <c r="C9" s="3" t="s">
        <v>93</v>
      </c>
      <c r="D9" s="4">
        <v>45784</v>
      </c>
      <c r="E9" s="5">
        <v>169</v>
      </c>
      <c r="F9" s="5" t="s">
        <v>367</v>
      </c>
      <c r="G9" s="3" t="s">
        <v>368</v>
      </c>
      <c r="H9" s="3" t="s">
        <v>544</v>
      </c>
      <c r="I9" s="3" t="s">
        <v>545</v>
      </c>
      <c r="J9" s="6"/>
      <c r="K9" s="11" t="str" cm="1">
        <f t="array" ref="K9">_xlfn.LET(
    _xlpm.name, TRIM(B9),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Jaxon Fresques</v>
      </c>
      <c r="L9" t="str" cm="1">
        <f t="array" ref="L9">_xlfn.LET(
    _xlpm.name, TRIM(B9),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Fresques_Jaxon_25</v>
      </c>
      <c r="M9" s="3" t="s">
        <v>93</v>
      </c>
      <c r="N9" t="str">
        <f>Table5[[#This Row],[Yr.]]</f>
        <v>Fr.</v>
      </c>
    </row>
    <row r="10" spans="1:14" ht="27.75" thickBot="1" x14ac:dyDescent="0.25">
      <c r="A10" s="2">
        <v>18</v>
      </c>
      <c r="B10" s="9" t="s">
        <v>279</v>
      </c>
      <c r="C10" s="3" t="s">
        <v>93</v>
      </c>
      <c r="D10" s="4">
        <v>45788</v>
      </c>
      <c r="E10" s="5">
        <v>170</v>
      </c>
      <c r="F10" s="5" t="s">
        <v>367</v>
      </c>
      <c r="G10" s="3" t="s">
        <v>368</v>
      </c>
      <c r="H10" s="3" t="s">
        <v>434</v>
      </c>
      <c r="I10" s="3" t="s">
        <v>435</v>
      </c>
      <c r="J10" s="6"/>
      <c r="K10" s="11" t="str" cm="1">
        <f t="array" ref="K10">_xlfn.LET(
    _xlpm.name, TRIM(B10),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Tye Nickens</v>
      </c>
      <c r="L10" t="str" cm="1">
        <f t="array" ref="L10">_xlfn.LET(
    _xlpm.name, TRIM(B10),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Nickens_Tye_25</v>
      </c>
      <c r="M10" s="3" t="s">
        <v>93</v>
      </c>
      <c r="N10" t="str">
        <f>Table5[[#This Row],[Yr.]]</f>
        <v>Fr.</v>
      </c>
    </row>
    <row r="11" spans="1:14" ht="15.75" thickBot="1" x14ac:dyDescent="0.25">
      <c r="A11" s="2">
        <v>22</v>
      </c>
      <c r="B11" s="9" t="s">
        <v>282</v>
      </c>
      <c r="C11" s="3" t="s">
        <v>80</v>
      </c>
      <c r="D11" s="4">
        <v>45788</v>
      </c>
      <c r="E11" s="5">
        <v>171</v>
      </c>
      <c r="F11" s="5" t="s">
        <v>367</v>
      </c>
      <c r="G11" s="3" t="s">
        <v>368</v>
      </c>
      <c r="H11" s="3" t="s">
        <v>448</v>
      </c>
      <c r="I11" s="3" t="s">
        <v>449</v>
      </c>
      <c r="J11" s="6"/>
      <c r="K11" s="11" t="str" cm="1">
        <f t="array" ref="K11">_xlfn.LET(
    _xlpm.name, TRIM(B11),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Jaquail Smith</v>
      </c>
      <c r="L11" t="str" cm="1">
        <f t="array" ref="L11">_xlfn.LET(
    _xlpm.name, TRIM(B11),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Smith_Jaquail_25</v>
      </c>
      <c r="M11" s="3" t="s">
        <v>80</v>
      </c>
      <c r="N11" t="str">
        <f>Table5[[#This Row],[Yr.]]</f>
        <v>Fr.</v>
      </c>
    </row>
    <row r="12" spans="1:14" ht="27.75" thickBot="1" x14ac:dyDescent="0.25">
      <c r="A12" s="2">
        <v>3</v>
      </c>
      <c r="B12" s="9" t="s">
        <v>7</v>
      </c>
      <c r="C12" s="3" t="s">
        <v>93</v>
      </c>
      <c r="D12" s="4">
        <v>45788</v>
      </c>
      <c r="E12" s="5">
        <v>172</v>
      </c>
      <c r="F12" s="5" t="s">
        <v>343</v>
      </c>
      <c r="G12" s="3" t="s">
        <v>323</v>
      </c>
      <c r="H12" s="3" t="s">
        <v>344</v>
      </c>
      <c r="I12" s="3" t="s">
        <v>345</v>
      </c>
      <c r="J12" s="6" t="s">
        <v>346</v>
      </c>
      <c r="K12" s="11" t="str" cm="1">
        <f t="array" ref="K12">_xlfn.LET(
    _xlpm.name, TRIM(B12),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Jordan Anderson</v>
      </c>
      <c r="L12" t="str" cm="1">
        <f t="array" ref="L12">_xlfn.LET(
    _xlpm.name, TRIM(B12),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Anderson_Jordan_25</v>
      </c>
      <c r="M12" s="3" t="s">
        <v>93</v>
      </c>
      <c r="N12" t="str">
        <f>Table5[[#This Row],[Yr.]]</f>
        <v>R-Fr.</v>
      </c>
    </row>
    <row r="13" spans="1:14" ht="27.75" thickBot="1" x14ac:dyDescent="0.25">
      <c r="A13" s="2">
        <v>81</v>
      </c>
      <c r="B13" s="9" t="s">
        <v>298</v>
      </c>
      <c r="C13" s="3" t="s">
        <v>93</v>
      </c>
      <c r="D13" s="7">
        <v>36678</v>
      </c>
      <c r="E13" s="5">
        <v>172</v>
      </c>
      <c r="F13" s="5" t="s">
        <v>367</v>
      </c>
      <c r="G13" s="3" t="s">
        <v>368</v>
      </c>
      <c r="H13" s="3" t="s">
        <v>542</v>
      </c>
      <c r="I13" s="3" t="s">
        <v>543</v>
      </c>
      <c r="J13" s="6"/>
      <c r="K13" s="11" t="str" cm="1">
        <f t="array" ref="K13">_xlfn.LET(
    _xlpm.name, TRIM(B13),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Tre Fernandez</v>
      </c>
      <c r="L13" t="str" cm="1">
        <f t="array" ref="L13">_xlfn.LET(
    _xlpm.name, TRIM(B13),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Fernandez_Tre_25</v>
      </c>
      <c r="M13" s="3" t="s">
        <v>93</v>
      </c>
      <c r="N13" t="str">
        <f>Table5[[#This Row],[Yr.]]</f>
        <v>Fr.</v>
      </c>
    </row>
    <row r="14" spans="1:14" ht="27.75" thickBot="1" x14ac:dyDescent="0.25">
      <c r="A14" s="2">
        <v>4</v>
      </c>
      <c r="B14" s="9" t="s">
        <v>273</v>
      </c>
      <c r="C14" s="3" t="s">
        <v>351</v>
      </c>
      <c r="D14" s="7">
        <v>36678</v>
      </c>
      <c r="E14" s="5">
        <v>175</v>
      </c>
      <c r="F14" s="5" t="s">
        <v>352</v>
      </c>
      <c r="G14" s="3" t="s">
        <v>353</v>
      </c>
      <c r="H14" s="3" t="s">
        <v>354</v>
      </c>
      <c r="I14" s="3" t="s">
        <v>355</v>
      </c>
      <c r="J14" s="6" t="s">
        <v>356</v>
      </c>
      <c r="K14" s="11" t="str" cm="1">
        <f t="array" ref="K14">_xlfn.LET(
    _xlpm.name, TRIM(B14),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Diesel Gordon</v>
      </c>
      <c r="L14" t="str" cm="1">
        <f t="array" ref="L14">_xlfn.LET(
    _xlpm.name, TRIM(B14),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Gordon_Diesel_25</v>
      </c>
      <c r="M14" s="3" t="s">
        <v>351</v>
      </c>
      <c r="N14" t="str">
        <f>Table5[[#This Row],[Yr.]]</f>
        <v>R-So.</v>
      </c>
    </row>
    <row r="15" spans="1:14" ht="27.75" thickBot="1" x14ac:dyDescent="0.25">
      <c r="A15" s="2">
        <v>12</v>
      </c>
      <c r="B15" s="9" t="s">
        <v>8</v>
      </c>
      <c r="C15" s="3" t="s">
        <v>321</v>
      </c>
      <c r="D15" s="7">
        <v>36678</v>
      </c>
      <c r="E15" s="5">
        <v>175</v>
      </c>
      <c r="F15" s="5" t="s">
        <v>347</v>
      </c>
      <c r="G15" s="3" t="s">
        <v>403</v>
      </c>
      <c r="H15" s="3" t="s">
        <v>404</v>
      </c>
      <c r="I15" s="3" t="s">
        <v>405</v>
      </c>
      <c r="J15" s="6" t="s">
        <v>406</v>
      </c>
      <c r="K15" s="11" t="str" cm="1">
        <f t="array" ref="K15">_xlfn.LET(
    _xlpm.name, TRIM(B15),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Jason Oliver</v>
      </c>
      <c r="L15" t="str" cm="1">
        <f t="array" ref="L15">_xlfn.LET(
    _xlpm.name, TRIM(B15),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Oliver_Jason_25</v>
      </c>
      <c r="M15" s="3" t="s">
        <v>321</v>
      </c>
      <c r="N15" t="str">
        <f>Table5[[#This Row],[Yr.]]</f>
        <v>Jr.</v>
      </c>
    </row>
    <row r="16" spans="1:14" ht="15.75" thickBot="1" x14ac:dyDescent="0.25">
      <c r="A16" s="2">
        <v>22</v>
      </c>
      <c r="B16" s="9" t="s">
        <v>6</v>
      </c>
      <c r="C16" s="3" t="s">
        <v>321</v>
      </c>
      <c r="D16" s="4">
        <v>45809</v>
      </c>
      <c r="E16" s="5">
        <v>176</v>
      </c>
      <c r="F16" s="5" t="s">
        <v>347</v>
      </c>
      <c r="G16" s="3" t="s">
        <v>403</v>
      </c>
      <c r="H16" s="3" t="s">
        <v>446</v>
      </c>
      <c r="I16" s="3" t="s">
        <v>447</v>
      </c>
      <c r="J16" s="6"/>
      <c r="K16" s="11" t="str" cm="1">
        <f t="array" ref="K16">_xlfn.LET(
    _xlpm.name, TRIM(B16),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Elias Mullican</v>
      </c>
      <c r="L16" t="str" cm="1">
        <f t="array" ref="L16">_xlfn.LET(
    _xlpm.name, TRIM(B16),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Mullican_Elias_25</v>
      </c>
      <c r="M16" s="3" t="s">
        <v>321</v>
      </c>
      <c r="N16" t="str">
        <f>Table5[[#This Row],[Yr.]]</f>
        <v>Jr.</v>
      </c>
    </row>
    <row r="17" spans="1:14" ht="27.75" thickBot="1" x14ac:dyDescent="0.25">
      <c r="A17" s="2">
        <v>24</v>
      </c>
      <c r="B17" s="9" t="s">
        <v>11</v>
      </c>
      <c r="C17" s="3" t="s">
        <v>351</v>
      </c>
      <c r="D17" s="4">
        <v>45812</v>
      </c>
      <c r="E17" s="5">
        <v>178</v>
      </c>
      <c r="F17" s="5" t="s">
        <v>367</v>
      </c>
      <c r="G17" s="3" t="s">
        <v>368</v>
      </c>
      <c r="H17" s="3" t="s">
        <v>408</v>
      </c>
      <c r="I17" s="3" t="s">
        <v>453</v>
      </c>
      <c r="J17" s="6"/>
      <c r="K17" s="11" t="str" cm="1">
        <f t="array" ref="K17">_xlfn.LET(
    _xlpm.name, TRIM(B17),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Lono Chouteau</v>
      </c>
      <c r="L17" t="str" cm="1">
        <f t="array" ref="L17">_xlfn.LET(
    _xlpm.name, TRIM(B17),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Chouteau_Lono_25</v>
      </c>
      <c r="M17" s="3" t="s">
        <v>351</v>
      </c>
      <c r="N17" t="str">
        <f>Table5[[#This Row],[Yr.]]</f>
        <v>Fr.</v>
      </c>
    </row>
    <row r="18" spans="1:14" ht="27.75" thickBot="1" x14ac:dyDescent="0.25">
      <c r="A18" s="2">
        <v>7</v>
      </c>
      <c r="B18" s="9" t="s">
        <v>30</v>
      </c>
      <c r="C18" s="3" t="s">
        <v>99</v>
      </c>
      <c r="D18" s="4">
        <v>45810</v>
      </c>
      <c r="E18" s="5">
        <v>181</v>
      </c>
      <c r="F18" s="5" t="s">
        <v>347</v>
      </c>
      <c r="G18" s="3" t="s">
        <v>323</v>
      </c>
      <c r="H18" s="3" t="s">
        <v>375</v>
      </c>
      <c r="I18" s="3" t="s">
        <v>376</v>
      </c>
      <c r="J18" s="6" t="s">
        <v>377</v>
      </c>
      <c r="K18" s="11" t="str" cm="1">
        <f t="array" ref="K18">_xlfn.LET(
    _xlpm.name, TRIM(B18),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Cardell Williams</v>
      </c>
      <c r="L18" t="str" cm="1">
        <f t="array" ref="L18">_xlfn.LET(
    _xlpm.name, TRIM(B18),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Williams_Cardell_25</v>
      </c>
      <c r="M18" s="3" t="s">
        <v>99</v>
      </c>
      <c r="N18" t="str">
        <f>Table5[[#This Row],[Yr.]]</f>
        <v>Jr.</v>
      </c>
    </row>
    <row r="19" spans="1:14" ht="27.75" thickBot="1" x14ac:dyDescent="0.25">
      <c r="A19" s="2">
        <v>49</v>
      </c>
      <c r="B19" s="9" t="s">
        <v>39</v>
      </c>
      <c r="C19" s="3" t="s">
        <v>202</v>
      </c>
      <c r="D19" s="4">
        <v>45788</v>
      </c>
      <c r="E19" s="5">
        <v>181</v>
      </c>
      <c r="F19" s="5" t="s">
        <v>322</v>
      </c>
      <c r="G19" s="3" t="s">
        <v>323</v>
      </c>
      <c r="H19" s="3" t="s">
        <v>404</v>
      </c>
      <c r="I19" s="3" t="s">
        <v>405</v>
      </c>
      <c r="J19" s="6" t="s">
        <v>499</v>
      </c>
      <c r="K19" s="11" t="str" cm="1">
        <f t="array" ref="K19">_xlfn.LET(
    _xlpm.name, TRIM(B19),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Grant Meadors</v>
      </c>
      <c r="L19" t="str" cm="1">
        <f t="array" ref="L19">_xlfn.LET(
    _xlpm.name, TRIM(B19),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Meadors_Grant_25</v>
      </c>
      <c r="M19" s="3" t="s">
        <v>202</v>
      </c>
      <c r="N19" t="str">
        <f>Table5[[#This Row],[Yr.]]</f>
        <v>So.</v>
      </c>
    </row>
    <row r="20" spans="1:14" ht="27.75" thickBot="1" x14ac:dyDescent="0.25">
      <c r="A20" s="2">
        <v>5</v>
      </c>
      <c r="B20" s="9" t="s">
        <v>364</v>
      </c>
      <c r="C20" s="3" t="s">
        <v>99</v>
      </c>
      <c r="D20" s="4">
        <v>45812</v>
      </c>
      <c r="E20" s="5">
        <v>183</v>
      </c>
      <c r="F20" s="5" t="s">
        <v>352</v>
      </c>
      <c r="G20" s="3" t="s">
        <v>323</v>
      </c>
      <c r="H20" s="3" t="s">
        <v>348</v>
      </c>
      <c r="I20" s="3" t="s">
        <v>365</v>
      </c>
      <c r="J20" s="6" t="s">
        <v>366</v>
      </c>
      <c r="K20" s="11" t="str" cm="1">
        <f t="array" ref="K20">_xlfn.LET(
    _xlpm.name, TRIM(B20),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Jaden Rashada</v>
      </c>
      <c r="L20" t="str" cm="1">
        <f t="array" ref="L20">_xlfn.LET(
    _xlpm.name, TRIM(B20),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Rashada_Jaden_25</v>
      </c>
      <c r="M20" s="3" t="s">
        <v>99</v>
      </c>
      <c r="N20" t="str">
        <f>Table5[[#This Row],[Yr.]]</f>
        <v>R-So.</v>
      </c>
    </row>
    <row r="21" spans="1:14" ht="27.75" thickBot="1" x14ac:dyDescent="0.25">
      <c r="A21" s="2">
        <v>99</v>
      </c>
      <c r="B21" s="9" t="s">
        <v>43</v>
      </c>
      <c r="C21" s="3" t="s">
        <v>202</v>
      </c>
      <c r="D21" s="4">
        <v>45810</v>
      </c>
      <c r="E21" s="5">
        <v>184</v>
      </c>
      <c r="F21" s="5" t="s">
        <v>347</v>
      </c>
      <c r="G21" s="3" t="s">
        <v>323</v>
      </c>
      <c r="H21" s="3" t="s">
        <v>418</v>
      </c>
      <c r="I21" s="3" t="s">
        <v>572</v>
      </c>
      <c r="J21" s="6" t="s">
        <v>573</v>
      </c>
      <c r="K21" s="11" t="str" cm="1">
        <f t="array" ref="K21">_xlfn.LET(
    _xlpm.name, TRIM(B21),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Joseph Firebaugh</v>
      </c>
      <c r="L21" t="str" cm="1">
        <f t="array" ref="L21">_xlfn.LET(
    _xlpm.name, TRIM(B21),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Firebaugh_Joseph_25</v>
      </c>
      <c r="M21" s="3" t="s">
        <v>202</v>
      </c>
      <c r="N21" t="str">
        <f>Table5[[#This Row],[Yr.]]</f>
        <v>Jr.</v>
      </c>
    </row>
    <row r="22" spans="1:14" ht="27.75" thickBot="1" x14ac:dyDescent="0.25">
      <c r="A22" s="2">
        <v>9</v>
      </c>
      <c r="B22" s="9" t="s">
        <v>22</v>
      </c>
      <c r="C22" s="3" t="s">
        <v>93</v>
      </c>
      <c r="D22" s="7">
        <v>36678</v>
      </c>
      <c r="E22" s="5">
        <v>185</v>
      </c>
      <c r="F22" s="5" t="s">
        <v>343</v>
      </c>
      <c r="G22" s="3" t="s">
        <v>323</v>
      </c>
      <c r="H22" s="3" t="s">
        <v>386</v>
      </c>
      <c r="I22" s="3" t="s">
        <v>387</v>
      </c>
      <c r="J22" s="6" t="s">
        <v>384</v>
      </c>
      <c r="K22" s="11" t="str" cm="1">
        <f t="array" ref="K22">_xlfn.LET(
    _xlpm.name, TRIM(B22),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Damien McDaniel</v>
      </c>
      <c r="L22" t="str" cm="1">
        <f t="array" ref="L22">_xlfn.LET(
    _xlpm.name, TRIM(B22),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McDaniel_Damien_25</v>
      </c>
      <c r="M22" s="3" t="s">
        <v>93</v>
      </c>
      <c r="N22" t="str">
        <f>Table5[[#This Row],[Yr.]]</f>
        <v>R-Fr.</v>
      </c>
    </row>
    <row r="23" spans="1:14" ht="27.75" thickBot="1" x14ac:dyDescent="0.25">
      <c r="A23" s="2">
        <v>10</v>
      </c>
      <c r="B23" s="9" t="s">
        <v>26</v>
      </c>
      <c r="C23" s="3" t="s">
        <v>321</v>
      </c>
      <c r="D23" s="4">
        <v>45810</v>
      </c>
      <c r="E23" s="5">
        <v>185</v>
      </c>
      <c r="F23" s="5" t="s">
        <v>347</v>
      </c>
      <c r="G23" s="3" t="s">
        <v>353</v>
      </c>
      <c r="H23" s="3" t="s">
        <v>391</v>
      </c>
      <c r="I23" s="3" t="s">
        <v>392</v>
      </c>
      <c r="J23" s="6" t="s">
        <v>393</v>
      </c>
      <c r="K23" s="11" t="str" cm="1">
        <f t="array" ref="K23">_xlfn.LET(
    _xlpm.name, TRIM(B23),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Jayden Robinson</v>
      </c>
      <c r="L23" t="str" cm="1">
        <f t="array" ref="L23">_xlfn.LET(
    _xlpm.name, TRIM(B23),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Robinson_Jayden_25</v>
      </c>
      <c r="M23" s="3" t="s">
        <v>321</v>
      </c>
      <c r="N23" t="str">
        <f>Table5[[#This Row],[Yr.]]</f>
        <v>Jr.</v>
      </c>
    </row>
    <row r="24" spans="1:14" ht="15.75" thickBot="1" x14ac:dyDescent="0.25">
      <c r="A24" s="2">
        <v>11</v>
      </c>
      <c r="B24" s="9" t="s">
        <v>275</v>
      </c>
      <c r="C24" s="3" t="s">
        <v>351</v>
      </c>
      <c r="D24" s="7">
        <v>36678</v>
      </c>
      <c r="E24" s="5">
        <v>185</v>
      </c>
      <c r="F24" s="5" t="s">
        <v>347</v>
      </c>
      <c r="G24" s="3" t="s">
        <v>353</v>
      </c>
      <c r="H24" s="3" t="s">
        <v>397</v>
      </c>
      <c r="I24" s="3" t="s">
        <v>398</v>
      </c>
      <c r="J24" s="6" t="s">
        <v>399</v>
      </c>
      <c r="K24" s="11" t="str" cm="1">
        <f t="array" ref="K24">_xlfn.LET(
    _xlpm.name, TRIM(B24),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Jamal Hood</v>
      </c>
      <c r="L24" t="str" cm="1">
        <f t="array" ref="L24">_xlfn.LET(
    _xlpm.name, TRIM(B24),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Hood_Jamal_25</v>
      </c>
      <c r="M24" s="3" t="s">
        <v>351</v>
      </c>
      <c r="N24" t="str">
        <f>Table5[[#This Row],[Yr.]]</f>
        <v>Jr.</v>
      </c>
    </row>
    <row r="25" spans="1:14" ht="27.75" thickBot="1" x14ac:dyDescent="0.25">
      <c r="A25" s="2">
        <v>40</v>
      </c>
      <c r="B25" s="9" t="s">
        <v>290</v>
      </c>
      <c r="C25" s="3" t="s">
        <v>321</v>
      </c>
      <c r="D25" s="7">
        <v>36678</v>
      </c>
      <c r="E25" s="5">
        <v>185</v>
      </c>
      <c r="F25" s="5" t="s">
        <v>367</v>
      </c>
      <c r="G25" s="3" t="s">
        <v>368</v>
      </c>
      <c r="H25" s="3" t="s">
        <v>485</v>
      </c>
      <c r="I25" s="3" t="s">
        <v>486</v>
      </c>
      <c r="J25" s="6"/>
      <c r="K25" s="11" t="str" cm="1">
        <f t="array" ref="K25">_xlfn.LET(
    _xlpm.name, TRIM(B25),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Caleb Reese</v>
      </c>
      <c r="L25" t="str" cm="1">
        <f t="array" ref="L25">_xlfn.LET(
    _xlpm.name, TRIM(B25),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Reese_Caleb_25</v>
      </c>
      <c r="M25" s="3" t="s">
        <v>321</v>
      </c>
      <c r="N25" t="str">
        <f>Table5[[#This Row],[Yr.]]</f>
        <v>Fr.</v>
      </c>
    </row>
    <row r="26" spans="1:14" ht="27.75" thickBot="1" x14ac:dyDescent="0.25">
      <c r="A26" s="2">
        <v>37</v>
      </c>
      <c r="B26" s="9" t="s">
        <v>37</v>
      </c>
      <c r="C26" s="3" t="s">
        <v>188</v>
      </c>
      <c r="D26" s="7">
        <v>36678</v>
      </c>
      <c r="E26" s="5">
        <v>186</v>
      </c>
      <c r="F26" s="5" t="s">
        <v>327</v>
      </c>
      <c r="G26" s="3" t="s">
        <v>323</v>
      </c>
      <c r="H26" s="3" t="s">
        <v>369</v>
      </c>
      <c r="I26" s="3" t="s">
        <v>481</v>
      </c>
      <c r="J26" s="6" t="s">
        <v>482</v>
      </c>
      <c r="K26" s="11" t="str" cm="1">
        <f t="array" ref="K26">_xlfn.LET(
    _xlpm.name, TRIM(B26),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Connor McDowell</v>
      </c>
      <c r="L26" t="str" cm="1">
        <f t="array" ref="L26">_xlfn.LET(
    _xlpm.name, TRIM(B26),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McDowell_Connor_25</v>
      </c>
      <c r="M26" s="3" t="s">
        <v>188</v>
      </c>
      <c r="N26" t="str">
        <f>Table5[[#This Row],[Yr.]]</f>
        <v>Sr.</v>
      </c>
    </row>
    <row r="27" spans="1:14" ht="27.75" thickBot="1" x14ac:dyDescent="0.25">
      <c r="A27" s="2">
        <v>63</v>
      </c>
      <c r="B27" s="9" t="s">
        <v>42</v>
      </c>
      <c r="C27" s="3" t="s">
        <v>262</v>
      </c>
      <c r="D27" s="4">
        <v>45788</v>
      </c>
      <c r="E27" s="5">
        <v>186</v>
      </c>
      <c r="F27" s="5" t="s">
        <v>327</v>
      </c>
      <c r="G27" s="3" t="s">
        <v>378</v>
      </c>
      <c r="H27" s="3" t="s">
        <v>472</v>
      </c>
      <c r="I27" s="3" t="s">
        <v>517</v>
      </c>
      <c r="J27" s="6" t="s">
        <v>518</v>
      </c>
      <c r="K27" s="11" t="str" cm="1">
        <f t="array" ref="K27">_xlfn.LET(
    _xlpm.name, TRIM(B27),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Mike Melanson</v>
      </c>
      <c r="L27" t="str" cm="1">
        <f t="array" ref="L27">_xlfn.LET(
    _xlpm.name, TRIM(B27),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Melanson_Mike_25</v>
      </c>
      <c r="M27" s="3" t="s">
        <v>262</v>
      </c>
      <c r="N27" t="str">
        <f>Table5[[#This Row],[Yr.]]</f>
        <v>Sr.</v>
      </c>
    </row>
    <row r="28" spans="1:14" ht="27.75" thickBot="1" x14ac:dyDescent="0.25">
      <c r="A28" s="2">
        <v>27</v>
      </c>
      <c r="B28" s="9" t="s">
        <v>285</v>
      </c>
      <c r="C28" s="3" t="s">
        <v>425</v>
      </c>
      <c r="D28" s="4">
        <v>45811</v>
      </c>
      <c r="E28" s="5">
        <v>187</v>
      </c>
      <c r="F28" s="5" t="s">
        <v>367</v>
      </c>
      <c r="G28" s="3" t="s">
        <v>368</v>
      </c>
      <c r="H28" s="3" t="s">
        <v>457</v>
      </c>
      <c r="I28" s="3" t="s">
        <v>458</v>
      </c>
      <c r="J28" s="6"/>
      <c r="K28" s="11" t="str" cm="1">
        <f t="array" ref="K28">_xlfn.LET(
    _xlpm.name, TRIM(B28),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Mike Taylor</v>
      </c>
      <c r="L28" t="str" cm="1">
        <f t="array" ref="L28">_xlfn.LET(
    _xlpm.name, TRIM(B28),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Taylor_Mike_25</v>
      </c>
      <c r="M28" s="3" t="s">
        <v>425</v>
      </c>
      <c r="N28" t="str">
        <f>Table5[[#This Row],[Yr.]]</f>
        <v>Fr.</v>
      </c>
    </row>
    <row r="29" spans="1:14" ht="27.75" thickBot="1" x14ac:dyDescent="0.25">
      <c r="A29" s="2">
        <v>6</v>
      </c>
      <c r="B29" s="9" t="s">
        <v>371</v>
      </c>
      <c r="C29" s="3" t="s">
        <v>321</v>
      </c>
      <c r="D29" s="4">
        <v>45809</v>
      </c>
      <c r="E29" s="5">
        <v>188</v>
      </c>
      <c r="F29" s="5" t="s">
        <v>352</v>
      </c>
      <c r="G29" s="3" t="s">
        <v>323</v>
      </c>
      <c r="H29" s="3" t="s">
        <v>372</v>
      </c>
      <c r="I29" s="3" t="s">
        <v>373</v>
      </c>
      <c r="J29" s="6" t="s">
        <v>374</v>
      </c>
      <c r="K29" s="11" t="str" cm="1">
        <f t="array" ref="K29">_xlfn.LET(
    _xlpm.name, TRIM(B29),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Warren Smith</v>
      </c>
      <c r="L29" t="str" cm="1">
        <f t="array" ref="L29">_xlfn.LET(
    _xlpm.name, TRIM(B29),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Smith_Warren_25</v>
      </c>
      <c r="M29" s="3" t="s">
        <v>321</v>
      </c>
      <c r="N29" t="str">
        <f>Table5[[#This Row],[Yr.]]</f>
        <v>R-So.</v>
      </c>
    </row>
    <row r="30" spans="1:14" ht="27.75" thickBot="1" x14ac:dyDescent="0.25">
      <c r="A30" s="2">
        <v>12</v>
      </c>
      <c r="B30" s="9" t="s">
        <v>407</v>
      </c>
      <c r="C30" s="3" t="s">
        <v>93</v>
      </c>
      <c r="D30" s="4">
        <v>45810</v>
      </c>
      <c r="E30" s="5">
        <v>188</v>
      </c>
      <c r="F30" s="5" t="s">
        <v>322</v>
      </c>
      <c r="G30" s="3" t="s">
        <v>378</v>
      </c>
      <c r="H30" s="3" t="s">
        <v>408</v>
      </c>
      <c r="I30" s="3" t="s">
        <v>409</v>
      </c>
      <c r="J30" s="6"/>
      <c r="K30" s="11" t="str" cm="1">
        <f t="array" ref="K30">_xlfn.LET(
    _xlpm.name, TRIM(B30),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Onterrio Smith</v>
      </c>
      <c r="L30" t="str" cm="1">
        <f t="array" ref="L30">_xlfn.LET(
    _xlpm.name, TRIM(B30),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Smith_Onterrio_25</v>
      </c>
      <c r="M30" s="3" t="s">
        <v>93</v>
      </c>
      <c r="N30" t="str">
        <f>Table5[[#This Row],[Yr.]]</f>
        <v>So.</v>
      </c>
    </row>
    <row r="31" spans="1:14" ht="15.75" thickBot="1" x14ac:dyDescent="0.25">
      <c r="A31" s="2">
        <v>29</v>
      </c>
      <c r="B31" s="9" t="s">
        <v>24</v>
      </c>
      <c r="C31" s="3" t="s">
        <v>351</v>
      </c>
      <c r="D31" s="4">
        <v>45787</v>
      </c>
      <c r="E31" s="5">
        <v>188</v>
      </c>
      <c r="F31" s="5" t="s">
        <v>347</v>
      </c>
      <c r="G31" s="3" t="s">
        <v>403</v>
      </c>
      <c r="H31" s="3" t="s">
        <v>465</v>
      </c>
      <c r="I31" s="3" t="s">
        <v>466</v>
      </c>
      <c r="J31" s="6"/>
      <c r="K31" s="11" t="str" cm="1">
        <f t="array" ref="K31">_xlfn.LET(
    _xlpm.name, TRIM(B31),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Koa Akui</v>
      </c>
      <c r="L31" t="str" cm="1">
        <f t="array" ref="L31">_xlfn.LET(
    _xlpm.name, TRIM(B31),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Akui_Koa_25</v>
      </c>
      <c r="M31" s="3" t="s">
        <v>351</v>
      </c>
      <c r="N31" t="str">
        <f>Table5[[#This Row],[Yr.]]</f>
        <v>Jr.</v>
      </c>
    </row>
    <row r="32" spans="1:14" ht="27.75" thickBot="1" x14ac:dyDescent="0.25">
      <c r="A32" s="2">
        <v>7</v>
      </c>
      <c r="B32" s="9" t="s">
        <v>23</v>
      </c>
      <c r="C32" s="3" t="s">
        <v>351</v>
      </c>
      <c r="D32" s="4">
        <v>45788</v>
      </c>
      <c r="E32" s="5">
        <v>190</v>
      </c>
      <c r="F32" s="5" t="s">
        <v>327</v>
      </c>
      <c r="G32" s="3" t="s">
        <v>378</v>
      </c>
      <c r="H32" s="3" t="s">
        <v>379</v>
      </c>
      <c r="I32" s="3" t="s">
        <v>380</v>
      </c>
      <c r="J32" s="6" t="s">
        <v>381</v>
      </c>
      <c r="K32" s="11" t="str" cm="1">
        <f t="array" ref="K32">_xlfn.LET(
    _xlpm.name, TRIM(B32),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Jalen Williams</v>
      </c>
      <c r="L32" t="str" cm="1">
        <f t="array" ref="L32">_xlfn.LET(
    _xlpm.name, TRIM(B32),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Williams_Jalen_25</v>
      </c>
      <c r="M32" s="3" t="s">
        <v>351</v>
      </c>
      <c r="N32" t="str">
        <f>Table5[[#This Row],[Yr.]]</f>
        <v>Sr.</v>
      </c>
    </row>
    <row r="33" spans="1:14" ht="27.75" thickBot="1" x14ac:dyDescent="0.25">
      <c r="A33" s="2">
        <v>11</v>
      </c>
      <c r="B33" s="9" t="s">
        <v>16</v>
      </c>
      <c r="C33" s="3" t="s">
        <v>93</v>
      </c>
      <c r="D33" s="4">
        <v>45809</v>
      </c>
      <c r="E33" s="5">
        <v>191</v>
      </c>
      <c r="F33" s="5" t="s">
        <v>339</v>
      </c>
      <c r="G33" s="3" t="s">
        <v>323</v>
      </c>
      <c r="H33" s="3" t="s">
        <v>400</v>
      </c>
      <c r="I33" s="3" t="s">
        <v>401</v>
      </c>
      <c r="J33" s="6" t="s">
        <v>402</v>
      </c>
      <c r="K33" s="11" t="str" cm="1">
        <f t="array" ref="K33">_xlfn.LET(
    _xlpm.name, TRIM(B33),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Gavin Thomson</v>
      </c>
      <c r="L33" t="str" cm="1">
        <f t="array" ref="L33">_xlfn.LET(
    _xlpm.name, TRIM(B33),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Thomson_Gavin_25</v>
      </c>
      <c r="M33" s="3" t="s">
        <v>93</v>
      </c>
      <c r="N33" t="str">
        <f>Table5[[#This Row],[Yr.]]</f>
        <v>R-Sr.</v>
      </c>
    </row>
    <row r="34" spans="1:14" ht="27.75" thickBot="1" x14ac:dyDescent="0.25">
      <c r="A34" s="2">
        <v>48</v>
      </c>
      <c r="B34" s="9" t="s">
        <v>69</v>
      </c>
      <c r="C34" s="3" t="s">
        <v>351</v>
      </c>
      <c r="D34" s="4">
        <v>45788</v>
      </c>
      <c r="E34" s="5">
        <v>191</v>
      </c>
      <c r="F34" s="5" t="s">
        <v>367</v>
      </c>
      <c r="G34" s="3" t="s">
        <v>368</v>
      </c>
      <c r="H34" s="3" t="s">
        <v>497</v>
      </c>
      <c r="I34" s="3" t="s">
        <v>498</v>
      </c>
      <c r="J34" s="6"/>
      <c r="K34" s="11" t="str" cm="1">
        <f t="array" ref="K34">_xlfn.LET(
    _xlpm.name, TRIM(B34),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Jojo Solis</v>
      </c>
      <c r="L34" t="str" cm="1">
        <f t="array" ref="L34">_xlfn.LET(
    _xlpm.name, TRIM(B34),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Solis_Jojo_25</v>
      </c>
      <c r="M34" s="3" t="s">
        <v>351</v>
      </c>
      <c r="N34" t="str">
        <f>Table5[[#This Row],[Yr.]]</f>
        <v>Fr.</v>
      </c>
    </row>
    <row r="35" spans="1:14" ht="27.75" thickBot="1" x14ac:dyDescent="0.25">
      <c r="A35" s="2">
        <v>14</v>
      </c>
      <c r="B35" s="9" t="s">
        <v>12</v>
      </c>
      <c r="C35" s="3" t="s">
        <v>93</v>
      </c>
      <c r="D35" s="7">
        <v>36678</v>
      </c>
      <c r="E35" s="5">
        <v>193</v>
      </c>
      <c r="F35" s="5" t="s">
        <v>367</v>
      </c>
      <c r="G35" s="3" t="s">
        <v>368</v>
      </c>
      <c r="H35" s="3" t="s">
        <v>418</v>
      </c>
      <c r="I35" s="3" t="s">
        <v>419</v>
      </c>
      <c r="J35" s="6"/>
      <c r="K35" s="11" t="str" cm="1">
        <f t="array" ref="K35">_xlfn.LET(
    _xlpm.name, TRIM(B35),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Drey Garner</v>
      </c>
      <c r="L35" t="str" cm="1">
        <f t="array" ref="L35">_xlfn.LET(
    _xlpm.name, TRIM(B35),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Garner_Drey_25</v>
      </c>
      <c r="M35" s="3" t="s">
        <v>93</v>
      </c>
      <c r="N35" t="str">
        <f>Table5[[#This Row],[Yr.]]</f>
        <v>Fr.</v>
      </c>
    </row>
    <row r="36" spans="1:14" ht="15.75" thickBot="1" x14ac:dyDescent="0.25">
      <c r="A36" s="2">
        <v>16</v>
      </c>
      <c r="B36" s="9" t="s">
        <v>20</v>
      </c>
      <c r="C36" s="3" t="s">
        <v>351</v>
      </c>
      <c r="D36" s="4">
        <v>45810</v>
      </c>
      <c r="E36" s="5">
        <v>193</v>
      </c>
      <c r="F36" s="5" t="s">
        <v>327</v>
      </c>
      <c r="G36" s="3" t="s">
        <v>403</v>
      </c>
      <c r="H36" s="3" t="s">
        <v>427</v>
      </c>
      <c r="I36" s="3" t="s">
        <v>409</v>
      </c>
      <c r="J36" s="6" t="s">
        <v>260</v>
      </c>
      <c r="K36" s="11" t="str" cm="1">
        <f t="array" ref="K36">_xlfn.LET(
    _xlpm.name, TRIM(B36),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Kaleb Higgins</v>
      </c>
      <c r="L36" t="str" cm="1">
        <f t="array" ref="L36">_xlfn.LET(
    _xlpm.name, TRIM(B36),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Higgins_Kaleb_25</v>
      </c>
      <c r="M36" s="3" t="s">
        <v>351</v>
      </c>
      <c r="N36" t="str">
        <f>Table5[[#This Row],[Yr.]]</f>
        <v>Sr.</v>
      </c>
    </row>
    <row r="37" spans="1:14" ht="28.5" thickBot="1" x14ac:dyDescent="0.25">
      <c r="A37" s="2">
        <v>17</v>
      </c>
      <c r="B37" s="9" t="s">
        <v>0</v>
      </c>
      <c r="C37" s="3" t="s">
        <v>351</v>
      </c>
      <c r="D37" s="4">
        <v>45809</v>
      </c>
      <c r="E37" s="5">
        <v>193</v>
      </c>
      <c r="F37" s="5" t="s">
        <v>322</v>
      </c>
      <c r="G37" s="3" t="s">
        <v>378</v>
      </c>
      <c r="H37" s="3" t="s">
        <v>432</v>
      </c>
      <c r="I37" s="3" t="s">
        <v>433</v>
      </c>
      <c r="J37" s="6"/>
      <c r="K37" s="11" t="str" cm="1">
        <f t="array" ref="K37">_xlfn.LET(
    _xlpm.name, TRIM(B37),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Anta'Veon McKenzie</v>
      </c>
      <c r="L37" t="str" cm="1">
        <f t="array" ref="L37">_xlfn.LET(
    _xlpm.name, TRIM(B37),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McKenzie_Anta'Veon_25</v>
      </c>
      <c r="M37" s="3" t="s">
        <v>351</v>
      </c>
      <c r="N37" t="str">
        <f>Table5[[#This Row],[Yr.]]</f>
        <v>So.</v>
      </c>
    </row>
    <row r="38" spans="1:14" ht="27.75" thickBot="1" x14ac:dyDescent="0.25">
      <c r="A38" s="2">
        <v>80</v>
      </c>
      <c r="B38" s="9" t="s">
        <v>13</v>
      </c>
      <c r="C38" s="3" t="s">
        <v>93</v>
      </c>
      <c r="D38" s="4">
        <v>45787</v>
      </c>
      <c r="E38" s="5">
        <v>193</v>
      </c>
      <c r="F38" s="5" t="s">
        <v>367</v>
      </c>
      <c r="G38" s="3" t="s">
        <v>368</v>
      </c>
      <c r="H38" s="3" t="s">
        <v>422</v>
      </c>
      <c r="I38" s="3" t="s">
        <v>464</v>
      </c>
      <c r="J38" s="6"/>
      <c r="K38" s="11" t="str" cm="1">
        <f t="array" ref="K38">_xlfn.LET(
    _xlpm.name, TRIM(B38),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Trey Bass</v>
      </c>
      <c r="L38" t="str" cm="1">
        <f t="array" ref="L38">_xlfn.LET(
    _xlpm.name, TRIM(B38),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Bass_Trey_25</v>
      </c>
      <c r="M38" s="3" t="s">
        <v>93</v>
      </c>
      <c r="N38" t="str">
        <f>Table5[[#This Row],[Yr.]]</f>
        <v>Fr.</v>
      </c>
    </row>
    <row r="39" spans="1:14" ht="27.75" thickBot="1" x14ac:dyDescent="0.25">
      <c r="A39" s="2">
        <v>2</v>
      </c>
      <c r="B39" s="9" t="s">
        <v>334</v>
      </c>
      <c r="C39" s="3" t="s">
        <v>80</v>
      </c>
      <c r="D39" s="4">
        <v>45786</v>
      </c>
      <c r="E39" s="5">
        <v>195</v>
      </c>
      <c r="F39" s="5" t="s">
        <v>327</v>
      </c>
      <c r="G39" s="3" t="s">
        <v>323</v>
      </c>
      <c r="H39" s="3" t="s">
        <v>335</v>
      </c>
      <c r="I39" s="3" t="s">
        <v>336</v>
      </c>
      <c r="J39" s="6" t="s">
        <v>337</v>
      </c>
      <c r="K39" s="11" t="str" cm="1">
        <f t="array" ref="K39">_xlfn.LET(
    _xlpm.name, TRIM(B39),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Rodney Hammond</v>
      </c>
      <c r="L39" t="str" cm="1">
        <f t="array" ref="L39">_xlfn.LET(
    _xlpm.name, TRIM(B39),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Hammond_Rodney_25</v>
      </c>
      <c r="M39" s="3" t="s">
        <v>80</v>
      </c>
      <c r="N39" t="str">
        <f>Table5[[#This Row],[Yr.]]</f>
        <v>Sr.</v>
      </c>
    </row>
    <row r="40" spans="1:14" ht="15.75" thickBot="1" x14ac:dyDescent="0.25">
      <c r="A40" s="2">
        <v>13</v>
      </c>
      <c r="B40" s="9" t="s">
        <v>27</v>
      </c>
      <c r="C40" s="3" t="s">
        <v>351</v>
      </c>
      <c r="D40" s="4">
        <v>45810</v>
      </c>
      <c r="E40" s="5">
        <v>195</v>
      </c>
      <c r="F40" s="5" t="s">
        <v>347</v>
      </c>
      <c r="G40" s="3" t="s">
        <v>413</v>
      </c>
      <c r="H40" s="3" t="s">
        <v>414</v>
      </c>
      <c r="I40" s="3" t="s">
        <v>415</v>
      </c>
      <c r="J40" s="6" t="s">
        <v>416</v>
      </c>
      <c r="K40" s="11" t="str" cm="1">
        <f t="array" ref="K40">_xlfn.LET(
    _xlpm.name, TRIM(B40),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Yebrell Emerson</v>
      </c>
      <c r="L40" t="str" cm="1">
        <f t="array" ref="L40">_xlfn.LET(
    _xlpm.name, TRIM(B40),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Emerson_Yebrell_25</v>
      </c>
      <c r="M40" s="3" t="s">
        <v>351</v>
      </c>
      <c r="N40" t="str">
        <f>Table5[[#This Row],[Yr.]]</f>
        <v>Jr.</v>
      </c>
    </row>
    <row r="41" spans="1:14" ht="15.75" thickBot="1" x14ac:dyDescent="0.25">
      <c r="A41" s="2">
        <v>21</v>
      </c>
      <c r="B41" s="9" t="s">
        <v>281</v>
      </c>
      <c r="C41" s="3" t="s">
        <v>77</v>
      </c>
      <c r="D41" s="4">
        <v>45788</v>
      </c>
      <c r="E41" s="5">
        <v>195</v>
      </c>
      <c r="F41" s="5" t="s">
        <v>443</v>
      </c>
      <c r="G41" s="3" t="s">
        <v>378</v>
      </c>
      <c r="H41" s="3" t="s">
        <v>444</v>
      </c>
      <c r="I41" s="3" t="s">
        <v>445</v>
      </c>
      <c r="J41" s="6" t="s">
        <v>260</v>
      </c>
      <c r="K41" s="11" t="str" cm="1">
        <f t="array" ref="K41">_xlfn.LET(
    _xlpm.name, TRIM(B41),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Dejuan Butler</v>
      </c>
      <c r="L41" t="str" cm="1">
        <f t="array" ref="L41">_xlfn.LET(
    _xlpm.name, TRIM(B41),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Butler_Dejuan_25</v>
      </c>
      <c r="M41" s="3" t="s">
        <v>321</v>
      </c>
      <c r="N41" t="str">
        <f>Table5[[#This Row],[Yr.]]</f>
        <v>Gr.</v>
      </c>
    </row>
    <row r="42" spans="1:14" ht="28.5" thickBot="1" x14ac:dyDescent="0.25">
      <c r="A42" s="2">
        <v>23</v>
      </c>
      <c r="B42" s="9" t="s">
        <v>9</v>
      </c>
      <c r="C42" s="3" t="s">
        <v>321</v>
      </c>
      <c r="D42" s="4">
        <v>45811</v>
      </c>
      <c r="E42" s="5">
        <v>196</v>
      </c>
      <c r="F42" s="5" t="s">
        <v>347</v>
      </c>
      <c r="G42" s="3" t="s">
        <v>403</v>
      </c>
      <c r="H42" s="3" t="s">
        <v>408</v>
      </c>
      <c r="I42" s="3" t="s">
        <v>452</v>
      </c>
      <c r="J42" s="6"/>
      <c r="K42" s="11" t="str" cm="1">
        <f t="array" ref="K42">_xlfn.LET(
    _xlpm.name, TRIM(B42),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Lamont Johnson-Burrell</v>
      </c>
      <c r="L42" t="str" cm="1">
        <f t="array" ref="L42">_xlfn.LET(
    _xlpm.name, TRIM(B42),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Johnson-Burrell_Lamont_25</v>
      </c>
      <c r="M42" s="3" t="s">
        <v>321</v>
      </c>
      <c r="N42" t="str">
        <f>Table5[[#This Row],[Yr.]]</f>
        <v>Jr.</v>
      </c>
    </row>
    <row r="43" spans="1:14" ht="27.75" thickBot="1" x14ac:dyDescent="0.25">
      <c r="A43" s="2">
        <v>14</v>
      </c>
      <c r="B43" s="9" t="s">
        <v>71</v>
      </c>
      <c r="C43" s="3" t="s">
        <v>80</v>
      </c>
      <c r="D43" s="4">
        <v>45784</v>
      </c>
      <c r="E43" s="5">
        <v>197</v>
      </c>
      <c r="F43" s="5" t="s">
        <v>322</v>
      </c>
      <c r="G43" s="3" t="s">
        <v>378</v>
      </c>
      <c r="H43" s="3" t="s">
        <v>408</v>
      </c>
      <c r="I43" s="3" t="s">
        <v>417</v>
      </c>
      <c r="J43" s="6"/>
      <c r="K43" s="11" t="str" cm="1">
        <f t="array" ref="K43">_xlfn.LET(
    _xlpm.name, TRIM(B43),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Curron Borders</v>
      </c>
      <c r="L43" t="str" cm="1">
        <f t="array" ref="L43">_xlfn.LET(
    _xlpm.name, TRIM(B43),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Borders_Curron_25</v>
      </c>
      <c r="M43" s="3" t="s">
        <v>80</v>
      </c>
      <c r="N43" t="str">
        <f>Table5[[#This Row],[Yr.]]</f>
        <v>So.</v>
      </c>
    </row>
    <row r="44" spans="1:14" ht="27.75" thickBot="1" x14ac:dyDescent="0.25">
      <c r="A44" s="2">
        <v>91</v>
      </c>
      <c r="B44" s="9" t="s">
        <v>40</v>
      </c>
      <c r="C44" s="3" t="s">
        <v>262</v>
      </c>
      <c r="D44" s="4">
        <v>45810</v>
      </c>
      <c r="E44" s="5">
        <v>197</v>
      </c>
      <c r="F44" s="5" t="s">
        <v>327</v>
      </c>
      <c r="G44" s="3" t="s">
        <v>513</v>
      </c>
      <c r="H44" s="3" t="s">
        <v>562</v>
      </c>
      <c r="I44" s="3" t="s">
        <v>563</v>
      </c>
      <c r="J44" s="6"/>
      <c r="K44" s="11" t="str" cm="1">
        <f t="array" ref="K44">_xlfn.LET(
    _xlpm.name, TRIM(B44),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Cal McGough</v>
      </c>
      <c r="L44" t="str" cm="1">
        <f t="array" ref="L44">_xlfn.LET(
    _xlpm.name, TRIM(B44),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McGough_Cal_25</v>
      </c>
      <c r="M44" s="3" t="s">
        <v>262</v>
      </c>
      <c r="N44" t="str">
        <f>Table5[[#This Row],[Yr.]]</f>
        <v>Sr.</v>
      </c>
    </row>
    <row r="45" spans="1:14" ht="27.75" thickBot="1" x14ac:dyDescent="0.25">
      <c r="A45" s="2">
        <v>28</v>
      </c>
      <c r="B45" s="9" t="s">
        <v>463</v>
      </c>
      <c r="C45" s="3" t="s">
        <v>351</v>
      </c>
      <c r="D45" s="7">
        <v>36678</v>
      </c>
      <c r="E45" s="5">
        <v>201</v>
      </c>
      <c r="F45" s="5" t="s">
        <v>367</v>
      </c>
      <c r="G45" s="3" t="s">
        <v>368</v>
      </c>
      <c r="H45" s="3" t="s">
        <v>422</v>
      </c>
      <c r="I45" s="3" t="s">
        <v>464</v>
      </c>
      <c r="J45" s="6"/>
      <c r="K45" s="11" t="str" cm="1">
        <f t="array" ref="K45">_xlfn.LET(
    _xlpm.name, TRIM(B45),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KJ Jefferson</v>
      </c>
      <c r="L45" t="str" cm="1">
        <f t="array" ref="L45">_xlfn.LET(
    _xlpm.name, TRIM(B45),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Jefferson_KJ_25</v>
      </c>
      <c r="M45" s="3" t="s">
        <v>871</v>
      </c>
      <c r="N45" t="str">
        <f>Table5[[#This Row],[Yr.]]</f>
        <v>Fr.</v>
      </c>
    </row>
    <row r="46" spans="1:14" ht="27.75" thickBot="1" x14ac:dyDescent="0.25">
      <c r="A46" s="2">
        <v>25</v>
      </c>
      <c r="B46" s="9" t="s">
        <v>454</v>
      </c>
      <c r="C46" s="3" t="s">
        <v>351</v>
      </c>
      <c r="D46" s="4">
        <v>45787</v>
      </c>
      <c r="E46" s="5">
        <v>203</v>
      </c>
      <c r="F46" s="5" t="s">
        <v>367</v>
      </c>
      <c r="G46" s="3" t="s">
        <v>368</v>
      </c>
      <c r="H46" s="3" t="s">
        <v>455</v>
      </c>
      <c r="I46" s="3" t="s">
        <v>456</v>
      </c>
      <c r="J46" s="6"/>
      <c r="K46" s="11" t="str" cm="1">
        <f t="array" ref="K46">_xlfn.LET(
    _xlpm.name, TRIM(B46),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Naytel Mitchell</v>
      </c>
      <c r="L46" t="str" cm="1">
        <f t="array" ref="L46">_xlfn.LET(
    _xlpm.name, TRIM(B46),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Mitchell_Naytel_25</v>
      </c>
      <c r="M46" s="3" t="s">
        <v>351</v>
      </c>
      <c r="N46" t="str">
        <f>Table5[[#This Row],[Yr.]]</f>
        <v>Fr.</v>
      </c>
    </row>
    <row r="47" spans="1:14" ht="27.75" thickBot="1" x14ac:dyDescent="0.25">
      <c r="A47" s="2">
        <v>2</v>
      </c>
      <c r="B47" s="9" t="s">
        <v>29</v>
      </c>
      <c r="C47" s="3" t="s">
        <v>338</v>
      </c>
      <c r="D47" s="4">
        <v>45813</v>
      </c>
      <c r="E47" s="5">
        <v>204</v>
      </c>
      <c r="F47" s="5" t="s">
        <v>339</v>
      </c>
      <c r="G47" s="3" t="s">
        <v>323</v>
      </c>
      <c r="H47" s="3" t="s">
        <v>340</v>
      </c>
      <c r="I47" s="3" t="s">
        <v>341</v>
      </c>
      <c r="J47" s="6" t="s">
        <v>342</v>
      </c>
      <c r="K47" s="11" t="str" cm="1">
        <f t="array" ref="K47">_xlfn.LET(
    _xlpm.name, TRIM(B47),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Deven Wright</v>
      </c>
      <c r="L47" t="str" cm="1">
        <f t="array" ref="L47">_xlfn.LET(
    _xlpm.name, TRIM(B47),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Wright_Deven_25</v>
      </c>
      <c r="M47" s="3" t="s">
        <v>338</v>
      </c>
      <c r="N47" t="str">
        <f>Table5[[#This Row],[Yr.]]</f>
        <v>R-Sr.</v>
      </c>
    </row>
    <row r="48" spans="1:14" ht="15.75" thickBot="1" x14ac:dyDescent="0.25">
      <c r="A48" s="2">
        <v>21</v>
      </c>
      <c r="B48" s="9" t="s">
        <v>14</v>
      </c>
      <c r="C48" s="3" t="s">
        <v>93</v>
      </c>
      <c r="D48" s="4">
        <v>45809</v>
      </c>
      <c r="E48" s="5">
        <v>204</v>
      </c>
      <c r="F48" s="5" t="s">
        <v>367</v>
      </c>
      <c r="G48" s="3" t="s">
        <v>368</v>
      </c>
      <c r="H48" s="3" t="s">
        <v>441</v>
      </c>
      <c r="I48" s="3" t="s">
        <v>442</v>
      </c>
      <c r="J48" s="6"/>
      <c r="K48" s="11" t="str" cm="1">
        <f t="array" ref="K48">_xlfn.LET(
    _xlpm.name, TRIM(B48),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Hayden Anderson</v>
      </c>
      <c r="L48" t="str" cm="1">
        <f t="array" ref="L48">_xlfn.LET(
    _xlpm.name, TRIM(B48),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Anderson_Hayden_25</v>
      </c>
      <c r="M48" s="3" t="s">
        <v>93</v>
      </c>
      <c r="N48" t="str">
        <f>Table5[[#This Row],[Yr.]]</f>
        <v>Fr.</v>
      </c>
    </row>
    <row r="49" spans="1:14" ht="27.75" thickBot="1" x14ac:dyDescent="0.25">
      <c r="A49" s="2">
        <v>42</v>
      </c>
      <c r="B49" s="9" t="s">
        <v>33</v>
      </c>
      <c r="C49" s="3" t="s">
        <v>338</v>
      </c>
      <c r="D49" s="4">
        <v>45812</v>
      </c>
      <c r="E49" s="5">
        <v>208</v>
      </c>
      <c r="F49" s="5" t="s">
        <v>367</v>
      </c>
      <c r="G49" s="3" t="s">
        <v>368</v>
      </c>
      <c r="H49" s="3" t="s">
        <v>487</v>
      </c>
      <c r="I49" s="3" t="s">
        <v>488</v>
      </c>
      <c r="J49" s="6"/>
      <c r="K49" s="11" t="str" cm="1">
        <f t="array" ref="K49">_xlfn.LET(
    _xlpm.name, TRIM(B49),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Jordan Atkinson</v>
      </c>
      <c r="L49" t="str" cm="1">
        <f t="array" ref="L49">_xlfn.LET(
    _xlpm.name, TRIM(B49),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Atkinson_Jordan_25</v>
      </c>
      <c r="M49" s="3" t="s">
        <v>338</v>
      </c>
      <c r="N49" t="str">
        <f>Table5[[#This Row],[Yr.]]</f>
        <v>Fr.</v>
      </c>
    </row>
    <row r="50" spans="1:14" ht="27.75" thickBot="1" x14ac:dyDescent="0.25">
      <c r="A50" s="2">
        <v>85</v>
      </c>
      <c r="B50" s="9" t="s">
        <v>35</v>
      </c>
      <c r="C50" s="3" t="s">
        <v>139</v>
      </c>
      <c r="D50" s="4">
        <v>45811</v>
      </c>
      <c r="E50" s="5">
        <v>209</v>
      </c>
      <c r="F50" s="5" t="s">
        <v>367</v>
      </c>
      <c r="G50" s="3" t="s">
        <v>368</v>
      </c>
      <c r="H50" s="3" t="s">
        <v>549</v>
      </c>
      <c r="I50" s="3" t="s">
        <v>550</v>
      </c>
      <c r="J50" s="6"/>
      <c r="K50" s="11" t="str" cm="1">
        <f t="array" ref="K50">_xlfn.LET(
    _xlpm.name, TRIM(B50),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Elijah Huddle</v>
      </c>
      <c r="L50" t="str" cm="1">
        <f t="array" ref="L50">_xlfn.LET(
    _xlpm.name, TRIM(B50),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Huddle_Elijah_25</v>
      </c>
      <c r="M50" s="3" t="s">
        <v>139</v>
      </c>
      <c r="N50" t="str">
        <f>Table5[[#This Row],[Yr.]]</f>
        <v>Fr.</v>
      </c>
    </row>
    <row r="51" spans="1:14" ht="28.5" thickBot="1" x14ac:dyDescent="0.25">
      <c r="A51" s="2">
        <v>4</v>
      </c>
      <c r="B51" s="9" t="s">
        <v>357</v>
      </c>
      <c r="C51" s="3" t="s">
        <v>80</v>
      </c>
      <c r="D51" s="4">
        <v>45810</v>
      </c>
      <c r="E51" s="5">
        <v>210</v>
      </c>
      <c r="F51" s="5" t="s">
        <v>322</v>
      </c>
      <c r="G51" s="3" t="s">
        <v>323</v>
      </c>
      <c r="H51" s="3" t="s">
        <v>358</v>
      </c>
      <c r="I51" s="3" t="s">
        <v>359</v>
      </c>
      <c r="J51" s="6" t="s">
        <v>360</v>
      </c>
      <c r="K51" s="11" t="s">
        <v>272</v>
      </c>
      <c r="L51" t="s">
        <v>870</v>
      </c>
      <c r="M51" s="3" t="s">
        <v>80</v>
      </c>
      <c r="N51" t="str">
        <f>Table5[[#This Row],[Yr.]]</f>
        <v>So.</v>
      </c>
    </row>
    <row r="52" spans="1:14" ht="27.75" thickBot="1" x14ac:dyDescent="0.25">
      <c r="A52" s="2">
        <v>6</v>
      </c>
      <c r="B52" s="9" t="s">
        <v>34</v>
      </c>
      <c r="C52" s="3" t="s">
        <v>99</v>
      </c>
      <c r="D52" s="4">
        <v>45810</v>
      </c>
      <c r="E52" s="5">
        <v>211</v>
      </c>
      <c r="F52" s="5" t="s">
        <v>367</v>
      </c>
      <c r="G52" s="3" t="s">
        <v>368</v>
      </c>
      <c r="H52" s="3" t="s">
        <v>369</v>
      </c>
      <c r="I52" s="3" t="s">
        <v>370</v>
      </c>
      <c r="J52" s="6"/>
      <c r="K52" s="11" t="str" cm="1">
        <f t="array" ref="K52">_xlfn.LET(
    _xlpm.name, TRIM(B52),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Jamar Malone</v>
      </c>
      <c r="L52" t="str" cm="1">
        <f t="array" ref="L52">_xlfn.LET(
    _xlpm.name, TRIM(B52),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Malone_Jamar_25</v>
      </c>
      <c r="M52" s="3" t="s">
        <v>99</v>
      </c>
      <c r="N52" t="str">
        <f>Table5[[#This Row],[Yr.]]</f>
        <v>Fr.</v>
      </c>
    </row>
    <row r="53" spans="1:14" ht="27.75" thickBot="1" x14ac:dyDescent="0.25">
      <c r="A53" s="2">
        <v>84</v>
      </c>
      <c r="B53" s="9" t="s">
        <v>299</v>
      </c>
      <c r="C53" s="3" t="s">
        <v>93</v>
      </c>
      <c r="D53" s="4">
        <v>45813</v>
      </c>
      <c r="E53" s="5">
        <v>213</v>
      </c>
      <c r="F53" s="5" t="s">
        <v>347</v>
      </c>
      <c r="G53" s="3" t="s">
        <v>353</v>
      </c>
      <c r="H53" s="3" t="s">
        <v>546</v>
      </c>
      <c r="I53" s="3" t="s">
        <v>547</v>
      </c>
      <c r="J53" s="6" t="s">
        <v>548</v>
      </c>
      <c r="K53" s="11" t="str" cm="1">
        <f t="array" ref="K53">_xlfn.LET(
    _xlpm.name, TRIM(B53),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Dontae Robinson</v>
      </c>
      <c r="L53" t="str" cm="1">
        <f t="array" ref="L53">_xlfn.LET(
    _xlpm.name, TRIM(B53),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Robinson_Dontae_25</v>
      </c>
      <c r="M53" s="3" t="s">
        <v>93</v>
      </c>
      <c r="N53" t="str">
        <f>Table5[[#This Row],[Yr.]]</f>
        <v>Jr.</v>
      </c>
    </row>
    <row r="54" spans="1:14" ht="15.75" thickBot="1" x14ac:dyDescent="0.25">
      <c r="A54" s="2">
        <v>10</v>
      </c>
      <c r="B54" s="9" t="s">
        <v>10</v>
      </c>
      <c r="C54" s="3" t="s">
        <v>93</v>
      </c>
      <c r="D54" s="4">
        <v>45812</v>
      </c>
      <c r="E54" s="5">
        <v>214</v>
      </c>
      <c r="F54" s="5" t="s">
        <v>347</v>
      </c>
      <c r="G54" s="3" t="s">
        <v>323</v>
      </c>
      <c r="H54" s="3" t="s">
        <v>394</v>
      </c>
      <c r="I54" s="3" t="s">
        <v>395</v>
      </c>
      <c r="J54" s="6" t="s">
        <v>396</v>
      </c>
      <c r="K54" s="11" t="str" cm="1">
        <f t="array" ref="K54">_xlfn.LET(
    _xlpm.name, TRIM(B54),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Jace Wilson</v>
      </c>
      <c r="L54" t="str" cm="1">
        <f t="array" ref="L54">_xlfn.LET(
    _xlpm.name, TRIM(B54),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Wilson_Jace_25</v>
      </c>
      <c r="M54" s="3" t="s">
        <v>93</v>
      </c>
      <c r="N54" t="str">
        <f>Table5[[#This Row],[Yr.]]</f>
        <v>Jr.</v>
      </c>
    </row>
    <row r="55" spans="1:14" ht="15.75" thickBot="1" x14ac:dyDescent="0.25">
      <c r="A55" s="2">
        <v>15</v>
      </c>
      <c r="B55" s="9" t="s">
        <v>277</v>
      </c>
      <c r="C55" s="3" t="s">
        <v>93</v>
      </c>
      <c r="D55" s="4">
        <v>45810</v>
      </c>
      <c r="E55" s="5">
        <v>215</v>
      </c>
      <c r="F55" s="5" t="s">
        <v>327</v>
      </c>
      <c r="G55" s="3" t="s">
        <v>323</v>
      </c>
      <c r="H55" s="3" t="s">
        <v>422</v>
      </c>
      <c r="I55" s="3" t="s">
        <v>423</v>
      </c>
      <c r="J55" s="6" t="s">
        <v>424</v>
      </c>
      <c r="K55" s="11" t="str" cm="1">
        <f t="array" ref="K55">_xlfn.LET(
    _xlpm.name, TRIM(B55),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Mikey Henderson</v>
      </c>
      <c r="L55" t="str" cm="1">
        <f t="array" ref="L55">_xlfn.LET(
    _xlpm.name, TRIM(B55),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Henderson_Mikey_25</v>
      </c>
      <c r="M55" s="3" t="s">
        <v>93</v>
      </c>
      <c r="N55" t="str">
        <f>Table5[[#This Row],[Yr.]]</f>
        <v>Sr.</v>
      </c>
    </row>
    <row r="56" spans="1:14" ht="27.75" thickBot="1" x14ac:dyDescent="0.25">
      <c r="A56" s="2">
        <v>31</v>
      </c>
      <c r="B56" s="9" t="s">
        <v>287</v>
      </c>
      <c r="C56" s="3" t="s">
        <v>425</v>
      </c>
      <c r="D56" s="4">
        <v>45809</v>
      </c>
      <c r="E56" s="5">
        <v>215</v>
      </c>
      <c r="F56" s="5" t="s">
        <v>367</v>
      </c>
      <c r="G56" s="3" t="s">
        <v>368</v>
      </c>
      <c r="H56" s="3" t="s">
        <v>470</v>
      </c>
      <c r="I56" s="3" t="s">
        <v>398</v>
      </c>
      <c r="J56" s="6"/>
      <c r="K56" s="11" t="str" cm="1">
        <f t="array" ref="K56">_xlfn.LET(
    _xlpm.name, TRIM(B56),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Jackson Cahoon</v>
      </c>
      <c r="L56" t="str" cm="1">
        <f t="array" ref="L56">_xlfn.LET(
    _xlpm.name, TRIM(B56),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Cahoon_Jackson_25</v>
      </c>
      <c r="M56" s="3" t="s">
        <v>425</v>
      </c>
      <c r="N56" t="str">
        <f>Table5[[#This Row],[Yr.]]</f>
        <v>Fr.</v>
      </c>
    </row>
    <row r="57" spans="1:14" ht="15.75" thickBot="1" x14ac:dyDescent="0.25">
      <c r="A57" s="2">
        <v>47</v>
      </c>
      <c r="B57" s="9" t="s">
        <v>36</v>
      </c>
      <c r="C57" s="3" t="s">
        <v>188</v>
      </c>
      <c r="D57" s="7">
        <v>36678</v>
      </c>
      <c r="E57" s="5">
        <v>215</v>
      </c>
      <c r="F57" s="5" t="s">
        <v>352</v>
      </c>
      <c r="G57" s="3" t="s">
        <v>378</v>
      </c>
      <c r="H57" s="3" t="s">
        <v>494</v>
      </c>
      <c r="I57" s="3" t="s">
        <v>495</v>
      </c>
      <c r="J57" s="6" t="s">
        <v>496</v>
      </c>
      <c r="K57" s="11" t="str" cm="1">
        <f t="array" ref="K57">_xlfn.LET(
    _xlpm.name, TRIM(B57),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Adam Johnston</v>
      </c>
      <c r="L57" t="str" cm="1">
        <f t="array" ref="L57">_xlfn.LET(
    _xlpm.name, TRIM(B57),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Johnston_Adam_25</v>
      </c>
      <c r="M57" s="3" t="s">
        <v>188</v>
      </c>
      <c r="N57" t="str">
        <f>Table5[[#This Row],[Yr.]]</f>
        <v>R-So.</v>
      </c>
    </row>
    <row r="58" spans="1:14" ht="27.75" thickBot="1" x14ac:dyDescent="0.25">
      <c r="A58" s="2">
        <v>5</v>
      </c>
      <c r="B58" s="9" t="s">
        <v>18</v>
      </c>
      <c r="C58" s="3" t="s">
        <v>351</v>
      </c>
      <c r="D58" s="4">
        <v>45809</v>
      </c>
      <c r="E58" s="5">
        <v>216</v>
      </c>
      <c r="F58" s="5" t="s">
        <v>327</v>
      </c>
      <c r="G58" s="3" t="s">
        <v>323</v>
      </c>
      <c r="H58" s="3" t="s">
        <v>361</v>
      </c>
      <c r="I58" s="3" t="s">
        <v>362</v>
      </c>
      <c r="J58" s="6" t="s">
        <v>363</v>
      </c>
      <c r="K58" s="11" t="str" cm="1">
        <f t="array" ref="K58">_xlfn.LET(
    _xlpm.name, TRIM(B58),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Oscar Moore</v>
      </c>
      <c r="L58" t="str" cm="1">
        <f t="array" ref="L58">_xlfn.LET(
    _xlpm.name, TRIM(B58),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Moore_Oscar_25</v>
      </c>
      <c r="M58" s="3" t="s">
        <v>351</v>
      </c>
      <c r="N58" t="str">
        <f>Table5[[#This Row],[Yr.]]</f>
        <v>Sr.</v>
      </c>
    </row>
    <row r="59" spans="1:14" ht="27.75" thickBot="1" x14ac:dyDescent="0.25">
      <c r="A59" s="2">
        <v>16</v>
      </c>
      <c r="B59" s="9" t="s">
        <v>44</v>
      </c>
      <c r="C59" s="3" t="s">
        <v>139</v>
      </c>
      <c r="D59" s="4">
        <v>45813</v>
      </c>
      <c r="E59" s="5">
        <v>217</v>
      </c>
      <c r="F59" s="5" t="s">
        <v>347</v>
      </c>
      <c r="G59" s="3" t="s">
        <v>323</v>
      </c>
      <c r="H59" s="3" t="s">
        <v>428</v>
      </c>
      <c r="I59" s="3" t="s">
        <v>429</v>
      </c>
      <c r="J59" s="6" t="s">
        <v>360</v>
      </c>
      <c r="K59" s="11" t="str" cm="1">
        <f t="array" ref="K59">_xlfn.LET(
    _xlpm.name, TRIM(B59),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Jordan Williams</v>
      </c>
      <c r="L59" t="str" cm="1">
        <f t="array" ref="L59">_xlfn.LET(
    _xlpm.name, TRIM(B59),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Williams_Jordan_25</v>
      </c>
      <c r="M59" s="3" t="s">
        <v>139</v>
      </c>
      <c r="N59" t="str">
        <f>Table5[[#This Row],[Yr.]]</f>
        <v>Jr.</v>
      </c>
    </row>
    <row r="60" spans="1:14" ht="27.75" thickBot="1" x14ac:dyDescent="0.25">
      <c r="A60" s="2">
        <v>35</v>
      </c>
      <c r="B60" s="9" t="s">
        <v>3</v>
      </c>
      <c r="C60" s="3" t="s">
        <v>425</v>
      </c>
      <c r="D60" s="7">
        <v>36678</v>
      </c>
      <c r="E60" s="5">
        <v>218</v>
      </c>
      <c r="F60" s="5" t="s">
        <v>347</v>
      </c>
      <c r="G60" s="3" t="s">
        <v>403</v>
      </c>
      <c r="H60" s="3" t="s">
        <v>479</v>
      </c>
      <c r="I60" s="3" t="s">
        <v>480</v>
      </c>
      <c r="J60" s="6"/>
      <c r="K60" s="11" t="str" cm="1">
        <f t="array" ref="K60">_xlfn.LET(
    _xlpm.name, TRIM(B60),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Hunter Boeddeker</v>
      </c>
      <c r="L60" t="str" cm="1">
        <f t="array" ref="L60">_xlfn.LET(
    _xlpm.name, TRIM(B60),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Boeddeker_Hunter_25</v>
      </c>
      <c r="M60" s="3" t="s">
        <v>425</v>
      </c>
      <c r="N60" t="str">
        <f>Table5[[#This Row],[Yr.]]</f>
        <v>Jr.</v>
      </c>
    </row>
    <row r="61" spans="1:14" ht="27.75" thickBot="1" x14ac:dyDescent="0.25">
      <c r="A61" s="2">
        <v>34</v>
      </c>
      <c r="B61" s="9" t="s">
        <v>289</v>
      </c>
      <c r="C61" s="3" t="s">
        <v>338</v>
      </c>
      <c r="D61" s="4">
        <v>45811</v>
      </c>
      <c r="E61" s="5">
        <v>220</v>
      </c>
      <c r="F61" s="5" t="s">
        <v>352</v>
      </c>
      <c r="G61" s="3" t="s">
        <v>323</v>
      </c>
      <c r="H61" s="3" t="s">
        <v>476</v>
      </c>
      <c r="I61" s="3" t="s">
        <v>477</v>
      </c>
      <c r="J61" s="6" t="s">
        <v>478</v>
      </c>
      <c r="K61" s="11" t="str" cm="1">
        <f t="array" ref="K61">_xlfn.LET(
    _xlpm.name, TRIM(B61),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Dylan Gooden</v>
      </c>
      <c r="L61" t="str" cm="1">
        <f t="array" ref="L61">_xlfn.LET(
    _xlpm.name, TRIM(B61),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Gooden_Dylan_25</v>
      </c>
      <c r="M61" s="3" t="s">
        <v>338</v>
      </c>
      <c r="N61" t="str">
        <f>Table5[[#This Row],[Yr.]]</f>
        <v>R-So.</v>
      </c>
    </row>
    <row r="62" spans="1:14" ht="27.75" thickBot="1" x14ac:dyDescent="0.25">
      <c r="A62" s="2">
        <v>33</v>
      </c>
      <c r="B62" s="9" t="s">
        <v>4</v>
      </c>
      <c r="C62" s="3" t="s">
        <v>425</v>
      </c>
      <c r="D62" s="4">
        <v>45810</v>
      </c>
      <c r="E62" s="5">
        <v>221</v>
      </c>
      <c r="F62" s="5" t="s">
        <v>347</v>
      </c>
      <c r="G62" s="3" t="s">
        <v>378</v>
      </c>
      <c r="H62" s="3" t="s">
        <v>404</v>
      </c>
      <c r="I62" s="3" t="s">
        <v>475</v>
      </c>
      <c r="J62" s="6"/>
      <c r="K62" s="11" t="str" cm="1">
        <f t="array" ref="K62">_xlfn.LET(
    _xlpm.name, TRIM(B62),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Alex Rocha</v>
      </c>
      <c r="L62" t="str" cm="1">
        <f t="array" ref="L62">_xlfn.LET(
    _xlpm.name, TRIM(B62),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Rocha_Alex_25</v>
      </c>
      <c r="M62" s="3" t="s">
        <v>425</v>
      </c>
      <c r="N62" t="str">
        <f>Table5[[#This Row],[Yr.]]</f>
        <v>Jr.</v>
      </c>
    </row>
    <row r="63" spans="1:14" ht="15.75" thickBot="1" x14ac:dyDescent="0.25">
      <c r="A63" s="2">
        <v>15</v>
      </c>
      <c r="B63" s="9" t="s">
        <v>278</v>
      </c>
      <c r="C63" s="3" t="s">
        <v>425</v>
      </c>
      <c r="D63" s="7">
        <v>36678</v>
      </c>
      <c r="E63" s="5">
        <v>222</v>
      </c>
      <c r="F63" s="5" t="s">
        <v>339</v>
      </c>
      <c r="G63" s="3" t="s">
        <v>323</v>
      </c>
      <c r="H63" s="3" t="s">
        <v>414</v>
      </c>
      <c r="I63" s="3" t="s">
        <v>415</v>
      </c>
      <c r="J63" s="6" t="s">
        <v>426</v>
      </c>
      <c r="K63" s="11" t="str" cm="1">
        <f t="array" ref="K63">_xlfn.LET(
    _xlpm.name, TRIM(B63),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Jekob Jones</v>
      </c>
      <c r="L63" t="str" cm="1">
        <f t="array" ref="L63">_xlfn.LET(
    _xlpm.name, TRIM(B63),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Jones_Jekob_25</v>
      </c>
      <c r="M63" s="3" t="s">
        <v>425</v>
      </c>
      <c r="N63" t="str">
        <f>Table5[[#This Row],[Yr.]]</f>
        <v>R-Sr.</v>
      </c>
    </row>
    <row r="64" spans="1:14" ht="27.75" thickBot="1" x14ac:dyDescent="0.25">
      <c r="A64" s="2">
        <v>28</v>
      </c>
      <c r="B64" s="9" t="s">
        <v>459</v>
      </c>
      <c r="C64" s="3" t="s">
        <v>80</v>
      </c>
      <c r="D64" s="4">
        <v>45810</v>
      </c>
      <c r="E64" s="5">
        <v>224</v>
      </c>
      <c r="F64" s="5" t="s">
        <v>327</v>
      </c>
      <c r="G64" s="3" t="s">
        <v>323</v>
      </c>
      <c r="H64" s="3" t="s">
        <v>460</v>
      </c>
      <c r="I64" s="3" t="s">
        <v>461</v>
      </c>
      <c r="J64" s="6" t="s">
        <v>462</v>
      </c>
      <c r="K64" s="11" t="s">
        <v>286</v>
      </c>
      <c r="L64" t="s">
        <v>580</v>
      </c>
      <c r="M64" s="3" t="s">
        <v>80</v>
      </c>
      <c r="N64" t="str">
        <f>Table5[[#This Row],[Yr.]]</f>
        <v>Sr.</v>
      </c>
    </row>
    <row r="65" spans="1:14" ht="27.75" thickBot="1" x14ac:dyDescent="0.25">
      <c r="A65" s="2">
        <v>18</v>
      </c>
      <c r="B65" s="9" t="s">
        <v>2</v>
      </c>
      <c r="C65" s="3" t="s">
        <v>338</v>
      </c>
      <c r="D65" s="4">
        <v>45811</v>
      </c>
      <c r="E65" s="5">
        <v>226</v>
      </c>
      <c r="F65" s="5" t="s">
        <v>322</v>
      </c>
      <c r="G65" s="3" t="s">
        <v>378</v>
      </c>
      <c r="H65" s="3" t="s">
        <v>408</v>
      </c>
      <c r="I65" s="3" t="s">
        <v>436</v>
      </c>
      <c r="J65" s="6"/>
      <c r="K65" s="11" t="str" cm="1">
        <f t="array" ref="K65">_xlfn.LET(
    _xlpm.name, TRIM(B65),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Fata Puloka</v>
      </c>
      <c r="L65" t="str" cm="1">
        <f t="array" ref="L65">_xlfn.LET(
    _xlpm.name, TRIM(B65),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Puloka_Fata_25</v>
      </c>
      <c r="M65" s="3" t="s">
        <v>338</v>
      </c>
      <c r="N65" t="str">
        <f>Table5[[#This Row],[Yr.]]</f>
        <v>So.</v>
      </c>
    </row>
    <row r="66" spans="1:14" ht="27.75" thickBot="1" x14ac:dyDescent="0.25">
      <c r="A66" s="2">
        <v>32</v>
      </c>
      <c r="B66" s="9" t="s">
        <v>471</v>
      </c>
      <c r="C66" s="3" t="s">
        <v>425</v>
      </c>
      <c r="D66" s="4">
        <v>45809</v>
      </c>
      <c r="E66" s="5">
        <v>228</v>
      </c>
      <c r="F66" s="5" t="s">
        <v>347</v>
      </c>
      <c r="G66" s="3" t="s">
        <v>413</v>
      </c>
      <c r="H66" s="3" t="s">
        <v>472</v>
      </c>
      <c r="I66" s="3" t="s">
        <v>473</v>
      </c>
      <c r="J66" s="6" t="s">
        <v>474</v>
      </c>
      <c r="K66" s="11" t="s">
        <v>288</v>
      </c>
      <c r="L66" t="s">
        <v>581</v>
      </c>
      <c r="M66" s="3" t="s">
        <v>425</v>
      </c>
      <c r="N66" t="str">
        <f>Table5[[#This Row],[Yr.]]</f>
        <v>Jr.</v>
      </c>
    </row>
    <row r="67" spans="1:14" ht="27.75" thickBot="1" x14ac:dyDescent="0.25">
      <c r="A67" s="2">
        <v>19</v>
      </c>
      <c r="B67" s="9" t="s">
        <v>280</v>
      </c>
      <c r="C67" s="3" t="s">
        <v>139</v>
      </c>
      <c r="D67" s="4">
        <v>45811</v>
      </c>
      <c r="E67" s="5">
        <v>229</v>
      </c>
      <c r="F67" s="5" t="s">
        <v>322</v>
      </c>
      <c r="G67" s="3" t="s">
        <v>323</v>
      </c>
      <c r="H67" s="3" t="s">
        <v>375</v>
      </c>
      <c r="I67" s="3" t="s">
        <v>438</v>
      </c>
      <c r="J67" s="6" t="s">
        <v>439</v>
      </c>
      <c r="K67" s="11" t="str" cm="1">
        <f t="array" ref="K67">_xlfn.LET(
    _xlpm.name, TRIM(B67),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Logan Tanner</v>
      </c>
      <c r="L67" t="str" cm="1">
        <f t="array" ref="L67">_xlfn.LET(
    _xlpm.name, TRIM(B67),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Tanner_Logan_25</v>
      </c>
      <c r="M67" s="3" t="s">
        <v>139</v>
      </c>
      <c r="N67" t="str">
        <f>Table5[[#This Row],[Yr.]]</f>
        <v>So.</v>
      </c>
    </row>
    <row r="68" spans="1:14" ht="15.75" thickBot="1" x14ac:dyDescent="0.25">
      <c r="A68" s="2">
        <v>39</v>
      </c>
      <c r="B68" s="9" t="s">
        <v>68</v>
      </c>
      <c r="C68" s="3" t="s">
        <v>425</v>
      </c>
      <c r="D68" s="4">
        <v>45809</v>
      </c>
      <c r="E68" s="5">
        <v>231</v>
      </c>
      <c r="F68" s="5" t="s">
        <v>322</v>
      </c>
      <c r="G68" s="3" t="s">
        <v>378</v>
      </c>
      <c r="H68" s="3" t="s">
        <v>446</v>
      </c>
      <c r="I68" s="3" t="s">
        <v>447</v>
      </c>
      <c r="J68" s="6"/>
      <c r="K68" s="11" t="str" cm="1">
        <f t="array" ref="K68">_xlfn.LET(
    _xlpm.name, TRIM(B68),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Derek Houston</v>
      </c>
      <c r="L68" t="str" cm="1">
        <f t="array" ref="L68">_xlfn.LET(
    _xlpm.name, TRIM(B68),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Houston_Derek_25</v>
      </c>
      <c r="M68" s="3" t="s">
        <v>425</v>
      </c>
      <c r="N68" t="str">
        <f>Table5[[#This Row],[Yr.]]</f>
        <v>So.</v>
      </c>
    </row>
    <row r="69" spans="1:14" ht="15.75" thickBot="1" x14ac:dyDescent="0.25">
      <c r="A69" s="2">
        <v>87</v>
      </c>
      <c r="B69" s="9" t="s">
        <v>300</v>
      </c>
      <c r="C69" s="3" t="s">
        <v>139</v>
      </c>
      <c r="D69" s="4">
        <v>45812</v>
      </c>
      <c r="E69" s="5">
        <v>232</v>
      </c>
      <c r="F69" s="5" t="s">
        <v>347</v>
      </c>
      <c r="G69" s="3" t="s">
        <v>413</v>
      </c>
      <c r="H69" s="3" t="s">
        <v>552</v>
      </c>
      <c r="I69" s="3" t="s">
        <v>553</v>
      </c>
      <c r="J69" s="6" t="s">
        <v>416</v>
      </c>
      <c r="K69" s="11" t="str" cm="1">
        <f t="array" ref="K69">_xlfn.LET(
    _xlpm.name, TRIM(B69),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Gavin Nelson</v>
      </c>
      <c r="L69" t="str" cm="1">
        <f t="array" ref="L69">_xlfn.LET(
    _xlpm.name, TRIM(B69),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Nelson_Gavin_25</v>
      </c>
      <c r="M69" s="3" t="s">
        <v>139</v>
      </c>
      <c r="N69" t="str">
        <f>Table5[[#This Row],[Yr.]]</f>
        <v>Jr.</v>
      </c>
    </row>
    <row r="70" spans="1:14" ht="27.75" thickBot="1" x14ac:dyDescent="0.25">
      <c r="A70" s="2">
        <v>0</v>
      </c>
      <c r="B70" s="9" t="s">
        <v>270</v>
      </c>
      <c r="C70" s="3" t="s">
        <v>80</v>
      </c>
      <c r="D70" s="4">
        <v>45787</v>
      </c>
      <c r="E70" s="5">
        <v>233</v>
      </c>
      <c r="F70" s="5" t="s">
        <v>327</v>
      </c>
      <c r="G70" s="3" t="s">
        <v>323</v>
      </c>
      <c r="H70" s="3" t="s">
        <v>328</v>
      </c>
      <c r="I70" s="3" t="s">
        <v>329</v>
      </c>
      <c r="J70" s="6" t="s">
        <v>330</v>
      </c>
      <c r="K70" s="11" t="str" cm="1">
        <f t="array" ref="K70">_xlfn.LET(
    _xlpm.name, TRIM(B70),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Savion Red</v>
      </c>
      <c r="L70" t="str" cm="1">
        <f t="array" ref="L70">_xlfn.LET(
    _xlpm.name, TRIM(B70),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Red_Savion_25</v>
      </c>
      <c r="M70" s="3" t="s">
        <v>80</v>
      </c>
      <c r="N70" t="str">
        <f>Table5[[#This Row],[Yr.]]</f>
        <v>Sr.</v>
      </c>
    </row>
    <row r="71" spans="1:14" ht="27.75" thickBot="1" x14ac:dyDescent="0.25">
      <c r="A71" s="2">
        <v>19</v>
      </c>
      <c r="B71" s="9" t="s">
        <v>45</v>
      </c>
      <c r="C71" s="3" t="s">
        <v>338</v>
      </c>
      <c r="D71" s="4">
        <v>45811</v>
      </c>
      <c r="E71" s="5">
        <v>234</v>
      </c>
      <c r="F71" s="5" t="s">
        <v>327</v>
      </c>
      <c r="G71" s="3" t="s">
        <v>403</v>
      </c>
      <c r="H71" s="3" t="s">
        <v>375</v>
      </c>
      <c r="I71" s="3" t="s">
        <v>437</v>
      </c>
      <c r="J71" s="6" t="s">
        <v>416</v>
      </c>
      <c r="K71" s="11" t="str" cm="1">
        <f t="array" ref="K71">_xlfn.LET(
    _xlpm.name, TRIM(B71),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Josh Cashiola</v>
      </c>
      <c r="L71" t="str" cm="1">
        <f t="array" ref="L71">_xlfn.LET(
    _xlpm.name, TRIM(B71),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Cashiola_Josh_25</v>
      </c>
      <c r="M71" s="3" t="s">
        <v>338</v>
      </c>
      <c r="N71" t="str">
        <f>Table5[[#This Row],[Yr.]]</f>
        <v>Sr.</v>
      </c>
    </row>
    <row r="72" spans="1:14" ht="27.75" thickBot="1" x14ac:dyDescent="0.25">
      <c r="A72" s="2">
        <v>23</v>
      </c>
      <c r="B72" s="9" t="s">
        <v>283</v>
      </c>
      <c r="C72" s="3" t="s">
        <v>80</v>
      </c>
      <c r="D72" s="7">
        <v>36678</v>
      </c>
      <c r="E72" s="5">
        <v>234</v>
      </c>
      <c r="F72" s="5" t="s">
        <v>347</v>
      </c>
      <c r="G72" s="3" t="s">
        <v>353</v>
      </c>
      <c r="H72" s="3" t="s">
        <v>450</v>
      </c>
      <c r="I72" s="3" t="s">
        <v>447</v>
      </c>
      <c r="J72" s="6" t="s">
        <v>451</v>
      </c>
      <c r="K72" s="11" t="str" cm="1">
        <f t="array" ref="K72">_xlfn.LET(
    _xlpm.name, TRIM(B72),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Elias Brown</v>
      </c>
      <c r="L72" t="str" cm="1">
        <f t="array" ref="L72">_xlfn.LET(
    _xlpm.name, TRIM(B72),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Brown_Elias_25</v>
      </c>
      <c r="M72" s="3" t="s">
        <v>80</v>
      </c>
      <c r="N72" t="str">
        <f>Table5[[#This Row],[Yr.]]</f>
        <v>Jr.</v>
      </c>
    </row>
    <row r="73" spans="1:14" ht="27.75" thickBot="1" x14ac:dyDescent="0.25">
      <c r="A73" s="2">
        <v>94</v>
      </c>
      <c r="B73" s="9" t="s">
        <v>305</v>
      </c>
      <c r="C73" s="3" t="s">
        <v>338</v>
      </c>
      <c r="D73" s="4">
        <v>45812</v>
      </c>
      <c r="E73" s="5">
        <v>235</v>
      </c>
      <c r="F73" s="5" t="s">
        <v>367</v>
      </c>
      <c r="G73" s="3" t="s">
        <v>368</v>
      </c>
      <c r="H73" s="3" t="s">
        <v>500</v>
      </c>
      <c r="I73" s="3" t="s">
        <v>568</v>
      </c>
      <c r="J73" s="6"/>
      <c r="K73" s="11" t="str" cm="1">
        <f t="array" ref="K73">_xlfn.LET(
    _xlpm.name, TRIM(B73),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Micah Mosley</v>
      </c>
      <c r="L73" t="str" cm="1">
        <f t="array" ref="L73">_xlfn.LET(
    _xlpm.name, TRIM(B73),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Mosley_Micah_25</v>
      </c>
      <c r="M73" s="3" t="s">
        <v>338</v>
      </c>
      <c r="N73" t="str">
        <f>Table5[[#This Row],[Yr.]]</f>
        <v>Fr.</v>
      </c>
    </row>
    <row r="74" spans="1:14" ht="15.75" thickBot="1" x14ac:dyDescent="0.25">
      <c r="A74" s="2">
        <v>44</v>
      </c>
      <c r="B74" s="9" t="s">
        <v>47</v>
      </c>
      <c r="C74" s="3" t="s">
        <v>425</v>
      </c>
      <c r="D74" s="7">
        <v>36678</v>
      </c>
      <c r="E74" s="5">
        <v>236</v>
      </c>
      <c r="F74" s="5" t="s">
        <v>347</v>
      </c>
      <c r="G74" s="3" t="s">
        <v>353</v>
      </c>
      <c r="H74" s="3" t="s">
        <v>489</v>
      </c>
      <c r="I74" s="3" t="s">
        <v>490</v>
      </c>
      <c r="J74" s="6" t="s">
        <v>491</v>
      </c>
      <c r="K74" s="11" t="str" cm="1">
        <f t="array" ref="K74">_xlfn.LET(
    _xlpm.name, TRIM(B74),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Diego Davis</v>
      </c>
      <c r="L74" t="str" cm="1">
        <f t="array" ref="L74">_xlfn.LET(
    _xlpm.name, TRIM(B74),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Davis_Diego_25</v>
      </c>
      <c r="M74" s="3" t="s">
        <v>425</v>
      </c>
      <c r="N74" t="str">
        <f>Table5[[#This Row],[Yr.]]</f>
        <v>Jr.</v>
      </c>
    </row>
    <row r="75" spans="1:14" ht="27.75" thickBot="1" x14ac:dyDescent="0.25">
      <c r="A75" s="2">
        <v>30</v>
      </c>
      <c r="B75" s="9" t="s">
        <v>28</v>
      </c>
      <c r="C75" s="3" t="s">
        <v>338</v>
      </c>
      <c r="D75" s="4">
        <v>45810</v>
      </c>
      <c r="E75" s="5">
        <v>237</v>
      </c>
      <c r="F75" s="5" t="s">
        <v>347</v>
      </c>
      <c r="G75" s="3" t="s">
        <v>353</v>
      </c>
      <c r="H75" s="3" t="s">
        <v>467</v>
      </c>
      <c r="I75" s="3" t="s">
        <v>468</v>
      </c>
      <c r="J75" s="6" t="s">
        <v>469</v>
      </c>
      <c r="K75" s="11" t="str" cm="1">
        <f t="array" ref="K75">_xlfn.LET(
    _xlpm.name, TRIM(B75),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Pita Vi</v>
      </c>
      <c r="L75" t="str" cm="1">
        <f t="array" ref="L75">_xlfn.LET(
    _xlpm.name, TRIM(B75),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Vi_Pita_25</v>
      </c>
      <c r="M75" s="3" t="s">
        <v>338</v>
      </c>
      <c r="N75" t="str">
        <f>Table5[[#This Row],[Yr.]]</f>
        <v>Jr.</v>
      </c>
    </row>
    <row r="76" spans="1:14" ht="27.75" thickBot="1" x14ac:dyDescent="0.25">
      <c r="A76" s="2">
        <v>14</v>
      </c>
      <c r="B76" s="9" t="s">
        <v>38</v>
      </c>
      <c r="C76" s="3" t="s">
        <v>88</v>
      </c>
      <c r="D76" s="4">
        <v>45809</v>
      </c>
      <c r="E76" s="5">
        <v>242</v>
      </c>
      <c r="F76" s="5" t="s">
        <v>327</v>
      </c>
      <c r="G76" s="3" t="s">
        <v>323</v>
      </c>
      <c r="H76" s="3" t="s">
        <v>420</v>
      </c>
      <c r="I76" s="3" t="s">
        <v>421</v>
      </c>
      <c r="J76" s="6" t="s">
        <v>384</v>
      </c>
      <c r="K76" s="11" t="str" cm="1">
        <f t="array" ref="K76">_xlfn.LET(
    _xlpm.name, TRIM(B76),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Brennon Scott</v>
      </c>
      <c r="L76" t="str" cm="1">
        <f t="array" ref="L76">_xlfn.LET(
    _xlpm.name, TRIM(B76),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Scott_Brennon_25</v>
      </c>
      <c r="M76" s="3" t="s">
        <v>88</v>
      </c>
      <c r="N76" t="str">
        <f>Table5[[#This Row],[Yr.]]</f>
        <v>Sr.</v>
      </c>
    </row>
    <row r="77" spans="1:14" ht="27.75" thickBot="1" x14ac:dyDescent="0.25">
      <c r="A77" s="2">
        <v>56</v>
      </c>
      <c r="B77" s="9" t="s">
        <v>292</v>
      </c>
      <c r="C77" s="3" t="s">
        <v>88</v>
      </c>
      <c r="D77" s="4">
        <v>45811</v>
      </c>
      <c r="E77" s="5">
        <v>245</v>
      </c>
      <c r="F77" s="5" t="s">
        <v>352</v>
      </c>
      <c r="G77" s="3" t="s">
        <v>323</v>
      </c>
      <c r="H77" s="3" t="s">
        <v>508</v>
      </c>
      <c r="I77" s="3" t="s">
        <v>509</v>
      </c>
      <c r="J77" s="6" t="s">
        <v>510</v>
      </c>
      <c r="K77" s="11" t="str" cm="1">
        <f t="array" ref="K77">_xlfn.LET(
    _xlpm.name, TRIM(B77),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Dylan Hampsten</v>
      </c>
      <c r="L77" t="str" cm="1">
        <f t="array" ref="L77">_xlfn.LET(
    _xlpm.name, TRIM(B77),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Hampsten_Dylan_25</v>
      </c>
      <c r="M77" s="3" t="s">
        <v>88</v>
      </c>
      <c r="N77" t="str">
        <f>Table5[[#This Row],[Yr.]]</f>
        <v>R-So.</v>
      </c>
    </row>
    <row r="78" spans="1:14" ht="15.75" thickBot="1" x14ac:dyDescent="0.25">
      <c r="A78" s="2">
        <v>45</v>
      </c>
      <c r="B78" s="9" t="s">
        <v>1</v>
      </c>
      <c r="C78" s="3" t="s">
        <v>88</v>
      </c>
      <c r="D78" s="4">
        <v>45812</v>
      </c>
      <c r="E78" s="5">
        <v>246</v>
      </c>
      <c r="F78" s="5" t="s">
        <v>327</v>
      </c>
      <c r="G78" s="3" t="s">
        <v>403</v>
      </c>
      <c r="H78" s="3" t="s">
        <v>492</v>
      </c>
      <c r="I78" s="3" t="s">
        <v>493</v>
      </c>
      <c r="J78" s="6"/>
      <c r="K78" s="11" t="str" cm="1">
        <f t="array" ref="K78">_xlfn.LET(
    _xlpm.name, TRIM(B78),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Xavier Williams</v>
      </c>
      <c r="L78" t="str" cm="1">
        <f t="array" ref="L78">_xlfn.LET(
    _xlpm.name, TRIM(B78),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Williams_Xavier_25</v>
      </c>
      <c r="M78" s="3" t="s">
        <v>88</v>
      </c>
      <c r="N78" t="str">
        <f>Table5[[#This Row],[Yr.]]</f>
        <v>Sr.</v>
      </c>
    </row>
    <row r="79" spans="1:14" ht="27.75" thickBot="1" x14ac:dyDescent="0.25">
      <c r="A79" s="2">
        <v>86</v>
      </c>
      <c r="B79" s="9" t="s">
        <v>70</v>
      </c>
      <c r="C79" s="3" t="s">
        <v>139</v>
      </c>
      <c r="D79" s="4">
        <v>45815</v>
      </c>
      <c r="E79" s="5">
        <v>260</v>
      </c>
      <c r="F79" s="5" t="s">
        <v>347</v>
      </c>
      <c r="G79" s="3" t="s">
        <v>323</v>
      </c>
      <c r="H79" s="3" t="s">
        <v>369</v>
      </c>
      <c r="I79" s="3" t="s">
        <v>551</v>
      </c>
      <c r="J79" s="6" t="s">
        <v>384</v>
      </c>
      <c r="K79" s="11" t="str" cm="1">
        <f t="array" ref="K79">_xlfn.LET(
    _xlpm.name, TRIM(B79),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Davis Ambuehl</v>
      </c>
      <c r="L79" t="str" cm="1">
        <f t="array" ref="L79">_xlfn.LET(
    _xlpm.name, TRIM(B79),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Ambuehl_Davis_25</v>
      </c>
      <c r="M79" s="3" t="s">
        <v>139</v>
      </c>
      <c r="N79" t="str">
        <f>Table5[[#This Row],[Yr.]]</f>
        <v>Jr.</v>
      </c>
    </row>
    <row r="80" spans="1:14" ht="27.75" thickBot="1" x14ac:dyDescent="0.25">
      <c r="A80" s="2">
        <v>8</v>
      </c>
      <c r="B80" s="9" t="s">
        <v>67</v>
      </c>
      <c r="C80" s="3" t="s">
        <v>88</v>
      </c>
      <c r="D80" s="4">
        <v>45810</v>
      </c>
      <c r="E80" s="5">
        <v>262</v>
      </c>
      <c r="F80" s="5" t="s">
        <v>347</v>
      </c>
      <c r="G80" s="3" t="s">
        <v>323</v>
      </c>
      <c r="H80" s="3" t="s">
        <v>375</v>
      </c>
      <c r="I80" s="3" t="s">
        <v>385</v>
      </c>
      <c r="J80" s="6" t="s">
        <v>330</v>
      </c>
      <c r="K80" s="11" t="str" cm="1">
        <f t="array" ref="K80">_xlfn.LET(
    _xlpm.name, TRIM(B80),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Kris Ross</v>
      </c>
      <c r="L80" t="str" cm="1">
        <f t="array" ref="L80">_xlfn.LET(
    _xlpm.name, TRIM(B80),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Ross_Kris_25</v>
      </c>
      <c r="M80" s="3" t="s">
        <v>88</v>
      </c>
      <c r="N80" t="str">
        <f>Table5[[#This Row],[Yr.]]</f>
        <v>Jr.</v>
      </c>
    </row>
    <row r="81" spans="1:14" ht="27.75" thickBot="1" x14ac:dyDescent="0.25">
      <c r="A81" s="2">
        <v>38</v>
      </c>
      <c r="B81" s="9" t="s">
        <v>32</v>
      </c>
      <c r="C81" s="3" t="s">
        <v>483</v>
      </c>
      <c r="D81" s="7">
        <v>36678</v>
      </c>
      <c r="E81" s="5">
        <v>262</v>
      </c>
      <c r="F81" s="5" t="s">
        <v>327</v>
      </c>
      <c r="G81" s="3" t="s">
        <v>323</v>
      </c>
      <c r="H81" s="3" t="s">
        <v>472</v>
      </c>
      <c r="I81" s="3" t="s">
        <v>484</v>
      </c>
      <c r="J81" s="6" t="s">
        <v>384</v>
      </c>
      <c r="K81" s="11" t="str" cm="1">
        <f t="array" ref="K81">_xlfn.LET(
    _xlpm.name, TRIM(B81),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Sammy Norris</v>
      </c>
      <c r="L81" t="str" cm="1">
        <f t="array" ref="L81">_xlfn.LET(
    _xlpm.name, TRIM(B81),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Norris_Sammy_25</v>
      </c>
      <c r="M81" s="3" t="s">
        <v>483</v>
      </c>
      <c r="N81" t="str">
        <f>Table5[[#This Row],[Yr.]]</f>
        <v>Sr.</v>
      </c>
    </row>
    <row r="82" spans="1:14" ht="15.75" thickBot="1" x14ac:dyDescent="0.25">
      <c r="A82" s="2">
        <v>88</v>
      </c>
      <c r="B82" s="9" t="s">
        <v>301</v>
      </c>
      <c r="C82" s="3" t="s">
        <v>139</v>
      </c>
      <c r="D82" s="4">
        <v>45814</v>
      </c>
      <c r="E82" s="5">
        <v>269</v>
      </c>
      <c r="F82" s="5" t="s">
        <v>367</v>
      </c>
      <c r="G82" s="3" t="s">
        <v>368</v>
      </c>
      <c r="H82" s="3" t="s">
        <v>554</v>
      </c>
      <c r="I82" s="3" t="s">
        <v>555</v>
      </c>
      <c r="J82" s="6"/>
      <c r="K82" s="11" t="str" cm="1">
        <f t="array" ref="K82">_xlfn.LET(
    _xlpm.name, TRIM(B82),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Bear Tenney</v>
      </c>
      <c r="L82" t="str" cm="1">
        <f t="array" ref="L82">_xlfn.LET(
    _xlpm.name, TRIM(B82),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Tenney_Bear_25</v>
      </c>
      <c r="M82" s="3" t="s">
        <v>139</v>
      </c>
      <c r="N82" t="str">
        <f>Table5[[#This Row],[Yr.]]</f>
        <v>Fr.</v>
      </c>
    </row>
    <row r="83" spans="1:14" ht="27.75" thickBot="1" x14ac:dyDescent="0.25">
      <c r="A83" s="2">
        <v>67</v>
      </c>
      <c r="B83" s="9" t="s">
        <v>58</v>
      </c>
      <c r="C83" s="3" t="s">
        <v>205</v>
      </c>
      <c r="D83" s="4">
        <v>45810</v>
      </c>
      <c r="E83" s="5">
        <v>271</v>
      </c>
      <c r="F83" s="5" t="s">
        <v>343</v>
      </c>
      <c r="G83" s="3" t="s">
        <v>413</v>
      </c>
      <c r="H83" s="3" t="s">
        <v>522</v>
      </c>
      <c r="I83" s="3" t="s">
        <v>523</v>
      </c>
      <c r="J83" s="6"/>
      <c r="K83" s="11" t="str" cm="1">
        <f t="array" ref="K83">_xlfn.LET(
    _xlpm.name, TRIM(B83),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Luke Slater</v>
      </c>
      <c r="L83" t="str" cm="1">
        <f t="array" ref="L83">_xlfn.LET(
    _xlpm.name, TRIM(B83),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Slater_Luke_25</v>
      </c>
      <c r="M83" s="3" t="s">
        <v>205</v>
      </c>
      <c r="N83" t="str">
        <f>Table5[[#This Row],[Yr.]]</f>
        <v>R-Fr.</v>
      </c>
    </row>
    <row r="84" spans="1:14" ht="27.75" thickBot="1" x14ac:dyDescent="0.25">
      <c r="A84" s="2">
        <v>51</v>
      </c>
      <c r="B84" s="9" t="s">
        <v>291</v>
      </c>
      <c r="C84" s="3" t="s">
        <v>205</v>
      </c>
      <c r="D84" s="4">
        <v>45811</v>
      </c>
      <c r="E84" s="5">
        <v>279</v>
      </c>
      <c r="F84" s="5" t="s">
        <v>347</v>
      </c>
      <c r="G84" s="3" t="s">
        <v>378</v>
      </c>
      <c r="H84" s="3" t="s">
        <v>500</v>
      </c>
      <c r="I84" s="3" t="s">
        <v>501</v>
      </c>
      <c r="J84" s="6" t="s">
        <v>393</v>
      </c>
      <c r="K84" s="11" t="str" cm="1">
        <f t="array" ref="K84">_xlfn.LET(
    _xlpm.name, TRIM(B84),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Joseph Speno</v>
      </c>
      <c r="L84" t="str" cm="1">
        <f t="array" ref="L84">_xlfn.LET(
    _xlpm.name, TRIM(B84),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Speno_Joseph_25</v>
      </c>
      <c r="M84" s="3" t="s">
        <v>205</v>
      </c>
      <c r="N84" t="str">
        <f>Table5[[#This Row],[Yr.]]</f>
        <v>Jr.</v>
      </c>
    </row>
    <row r="85" spans="1:14" ht="27.75" thickBot="1" x14ac:dyDescent="0.25">
      <c r="A85" s="2">
        <v>63</v>
      </c>
      <c r="B85" s="9" t="s">
        <v>293</v>
      </c>
      <c r="C85" s="3" t="s">
        <v>205</v>
      </c>
      <c r="D85" s="4">
        <v>45814</v>
      </c>
      <c r="E85" s="5">
        <v>280</v>
      </c>
      <c r="F85" s="5" t="s">
        <v>367</v>
      </c>
      <c r="G85" s="3" t="s">
        <v>368</v>
      </c>
      <c r="H85" s="3" t="s">
        <v>404</v>
      </c>
      <c r="I85" s="3" t="s">
        <v>516</v>
      </c>
      <c r="J85" s="6"/>
      <c r="K85" s="11" t="str" cm="1">
        <f t="array" ref="K85">_xlfn.LET(
    _xlpm.name, TRIM(B85),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Graysen Lee</v>
      </c>
      <c r="L85" t="str" cm="1">
        <f t="array" ref="L85">_xlfn.LET(
    _xlpm.name, TRIM(B85),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Lee_Graysen_25</v>
      </c>
      <c r="M85" s="3" t="s">
        <v>205</v>
      </c>
      <c r="N85" t="str">
        <f>Table5[[#This Row],[Yr.]]</f>
        <v>Fr.</v>
      </c>
    </row>
    <row r="86" spans="1:14" ht="27.75" thickBot="1" x14ac:dyDescent="0.25">
      <c r="A86" s="2">
        <v>58</v>
      </c>
      <c r="B86" s="9" t="s">
        <v>65</v>
      </c>
      <c r="C86" s="3" t="s">
        <v>88</v>
      </c>
      <c r="D86" s="4">
        <v>45810</v>
      </c>
      <c r="E86" s="5">
        <v>282</v>
      </c>
      <c r="F86" s="5" t="s">
        <v>322</v>
      </c>
      <c r="G86" s="3" t="s">
        <v>378</v>
      </c>
      <c r="H86" s="3" t="s">
        <v>472</v>
      </c>
      <c r="I86" s="3" t="s">
        <v>511</v>
      </c>
      <c r="J86" s="6"/>
      <c r="K86" s="11" t="str" cm="1">
        <f t="array" ref="K86">_xlfn.LET(
    _xlpm.name, TRIM(B86),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Jayland McGlothen</v>
      </c>
      <c r="L86" t="str" cm="1">
        <f t="array" ref="L86">_xlfn.LET(
    _xlpm.name, TRIM(B86),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McGlothen_Jayland_25</v>
      </c>
      <c r="M86" s="3" t="s">
        <v>88</v>
      </c>
      <c r="N86" t="str">
        <f>Table5[[#This Row],[Yr.]]</f>
        <v>So.</v>
      </c>
    </row>
    <row r="87" spans="1:14" ht="15.75" thickBot="1" x14ac:dyDescent="0.25">
      <c r="A87" s="2">
        <v>55</v>
      </c>
      <c r="B87" s="9" t="s">
        <v>60</v>
      </c>
      <c r="C87" s="3" t="s">
        <v>88</v>
      </c>
      <c r="D87" s="4">
        <v>45812</v>
      </c>
      <c r="E87" s="5">
        <v>286</v>
      </c>
      <c r="F87" s="5" t="s">
        <v>347</v>
      </c>
      <c r="G87" s="3" t="s">
        <v>323</v>
      </c>
      <c r="H87" s="3" t="s">
        <v>505</v>
      </c>
      <c r="I87" s="3" t="s">
        <v>506</v>
      </c>
      <c r="J87" s="6" t="s">
        <v>507</v>
      </c>
      <c r="K87" s="11" t="str" cm="1">
        <f t="array" ref="K87">_xlfn.LET(
    _xlpm.name, TRIM(B87),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Miles Bailey</v>
      </c>
      <c r="L87" t="str" cm="1">
        <f t="array" ref="L87">_xlfn.LET(
    _xlpm.name, TRIM(B87),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Bailey_Miles_25</v>
      </c>
      <c r="M87" s="3" t="s">
        <v>88</v>
      </c>
      <c r="N87" t="str">
        <f>Table5[[#This Row],[Yr.]]</f>
        <v>Jr.</v>
      </c>
    </row>
    <row r="88" spans="1:14" ht="27.75" thickBot="1" x14ac:dyDescent="0.25">
      <c r="A88" s="2">
        <v>78</v>
      </c>
      <c r="B88" s="9" t="s">
        <v>52</v>
      </c>
      <c r="C88" s="3" t="s">
        <v>205</v>
      </c>
      <c r="D88" s="4">
        <v>45814</v>
      </c>
      <c r="E88" s="5">
        <v>287</v>
      </c>
      <c r="F88" s="5" t="s">
        <v>322</v>
      </c>
      <c r="G88" s="3" t="s">
        <v>378</v>
      </c>
      <c r="H88" s="3" t="s">
        <v>505</v>
      </c>
      <c r="I88" s="3" t="s">
        <v>537</v>
      </c>
      <c r="J88" s="6"/>
      <c r="K88" s="11" t="str" cm="1">
        <f t="array" ref="K88">_xlfn.LET(
    _xlpm.name, TRIM(B88),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Richard McKay</v>
      </c>
      <c r="L88" t="str" cm="1">
        <f t="array" ref="L88">_xlfn.LET(
    _xlpm.name, TRIM(B88),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McKay_Richard_25</v>
      </c>
      <c r="M88" s="3" t="s">
        <v>205</v>
      </c>
      <c r="N88" t="str">
        <f>Table5[[#This Row],[Yr.]]</f>
        <v>So.</v>
      </c>
    </row>
    <row r="89" spans="1:14" ht="27.75" thickBot="1" x14ac:dyDescent="0.25">
      <c r="A89" s="2">
        <v>3</v>
      </c>
      <c r="B89" s="9" t="s">
        <v>72</v>
      </c>
      <c r="C89" s="3" t="s">
        <v>88</v>
      </c>
      <c r="D89" s="4">
        <v>45813</v>
      </c>
      <c r="E89" s="5">
        <v>288</v>
      </c>
      <c r="F89" s="5" t="s">
        <v>347</v>
      </c>
      <c r="G89" s="3" t="s">
        <v>323</v>
      </c>
      <c r="H89" s="3" t="s">
        <v>348</v>
      </c>
      <c r="I89" s="3" t="s">
        <v>349</v>
      </c>
      <c r="J89" s="6" t="s">
        <v>350</v>
      </c>
      <c r="K89" s="11" t="str" cm="1">
        <f t="array" ref="K89">_xlfn.LET(
    _xlpm.name, TRIM(B89),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Brodie Tagaloa</v>
      </c>
      <c r="L89" t="str" cm="1">
        <f t="array" ref="L89">_xlfn.LET(
    _xlpm.name, TRIM(B89),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Tagaloa_Brodie_25</v>
      </c>
      <c r="M89" s="3" t="s">
        <v>88</v>
      </c>
      <c r="N89" t="str">
        <f>Table5[[#This Row],[Yr.]]</f>
        <v>Jr.</v>
      </c>
    </row>
    <row r="90" spans="1:14" ht="15.75" thickBot="1" x14ac:dyDescent="0.25">
      <c r="A90" s="2">
        <v>9</v>
      </c>
      <c r="B90" s="9" t="s">
        <v>274</v>
      </c>
      <c r="C90" s="3" t="s">
        <v>88</v>
      </c>
      <c r="D90" s="4">
        <v>45788</v>
      </c>
      <c r="E90" s="5">
        <v>294</v>
      </c>
      <c r="F90" s="5" t="s">
        <v>347</v>
      </c>
      <c r="G90" s="3" t="s">
        <v>323</v>
      </c>
      <c r="H90" s="3" t="s">
        <v>388</v>
      </c>
      <c r="I90" s="3" t="s">
        <v>389</v>
      </c>
      <c r="J90" s="6" t="s">
        <v>390</v>
      </c>
      <c r="K90" s="11" t="str" cm="1">
        <f t="array" ref="K90">_xlfn.LET(
    _xlpm.name, TRIM(B90),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Malik Tullis</v>
      </c>
      <c r="L90" t="str" cm="1">
        <f t="array" ref="L90">_xlfn.LET(
    _xlpm.name, TRIM(B90),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Tullis_Malik_25</v>
      </c>
      <c r="M90" s="3" t="s">
        <v>88</v>
      </c>
      <c r="N90" t="str">
        <f>Table5[[#This Row],[Yr.]]</f>
        <v>Jr.</v>
      </c>
    </row>
    <row r="91" spans="1:14" ht="27.75" thickBot="1" x14ac:dyDescent="0.25">
      <c r="A91" s="2">
        <v>65</v>
      </c>
      <c r="B91" s="9" t="s">
        <v>63</v>
      </c>
      <c r="C91" s="3" t="s">
        <v>205</v>
      </c>
      <c r="D91" s="4">
        <v>45812</v>
      </c>
      <c r="E91" s="5">
        <v>294</v>
      </c>
      <c r="F91" s="5" t="s">
        <v>322</v>
      </c>
      <c r="G91" s="3" t="s">
        <v>378</v>
      </c>
      <c r="H91" s="3" t="s">
        <v>404</v>
      </c>
      <c r="I91" s="3" t="s">
        <v>405</v>
      </c>
      <c r="J91" s="6"/>
      <c r="K91" s="11" t="str" cm="1">
        <f t="array" ref="K91">_xlfn.LET(
    _xlpm.name, TRIM(B91),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Cade Gretlein</v>
      </c>
      <c r="L91" t="str" cm="1">
        <f t="array" ref="L91">_xlfn.LET(
    _xlpm.name, TRIM(B91),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Gretlein_Cade_25</v>
      </c>
      <c r="M91" s="3" t="s">
        <v>205</v>
      </c>
      <c r="N91" t="str">
        <f>Table5[[#This Row],[Yr.]]</f>
        <v>So.</v>
      </c>
    </row>
    <row r="92" spans="1:14" ht="27.75" thickBot="1" x14ac:dyDescent="0.25">
      <c r="A92" s="2">
        <v>98</v>
      </c>
      <c r="B92" s="9" t="s">
        <v>569</v>
      </c>
      <c r="C92" s="3" t="s">
        <v>88</v>
      </c>
      <c r="D92" s="4">
        <v>45810</v>
      </c>
      <c r="E92" s="5">
        <v>294</v>
      </c>
      <c r="F92" s="5" t="s">
        <v>327</v>
      </c>
      <c r="G92" s="3" t="s">
        <v>323</v>
      </c>
      <c r="H92" s="3" t="s">
        <v>570</v>
      </c>
      <c r="I92" s="3" t="s">
        <v>571</v>
      </c>
      <c r="J92" s="6" t="s">
        <v>390</v>
      </c>
      <c r="K92" s="11" t="s">
        <v>62</v>
      </c>
      <c r="L92" t="s">
        <v>593</v>
      </c>
      <c r="M92" s="3" t="s">
        <v>88</v>
      </c>
      <c r="N92" t="str">
        <f>Table5[[#This Row],[Yr.]]</f>
        <v>Sr.</v>
      </c>
    </row>
    <row r="93" spans="1:14" ht="27.75" thickBot="1" x14ac:dyDescent="0.25">
      <c r="A93" s="2">
        <v>52</v>
      </c>
      <c r="B93" s="9" t="s">
        <v>66</v>
      </c>
      <c r="C93" s="3" t="s">
        <v>205</v>
      </c>
      <c r="D93" s="4">
        <v>45812</v>
      </c>
      <c r="E93" s="5">
        <v>295</v>
      </c>
      <c r="F93" s="5" t="s">
        <v>327</v>
      </c>
      <c r="G93" s="3" t="s">
        <v>323</v>
      </c>
      <c r="H93" s="3" t="s">
        <v>408</v>
      </c>
      <c r="I93" s="3" t="s">
        <v>417</v>
      </c>
      <c r="J93" s="6" t="s">
        <v>439</v>
      </c>
      <c r="K93" s="11" t="str" cm="1">
        <f t="array" ref="K93">_xlfn.LET(
    _xlpm.name, TRIM(B93),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Dean Abdullah</v>
      </c>
      <c r="L93" t="str" cm="1">
        <f t="array" ref="L93">_xlfn.LET(
    _xlpm.name, TRIM(B93),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Abdullah_Dean_25</v>
      </c>
      <c r="M93" s="3" t="s">
        <v>205</v>
      </c>
      <c r="N93" t="str">
        <f>Table5[[#This Row],[Yr.]]</f>
        <v>Sr.</v>
      </c>
    </row>
    <row r="94" spans="1:14" ht="27.75" thickBot="1" x14ac:dyDescent="0.25">
      <c r="A94" s="2">
        <v>72</v>
      </c>
      <c r="B94" s="9" t="s">
        <v>56</v>
      </c>
      <c r="C94" s="3" t="s">
        <v>205</v>
      </c>
      <c r="D94" s="4">
        <v>45814</v>
      </c>
      <c r="E94" s="5">
        <v>295</v>
      </c>
      <c r="F94" s="5" t="s">
        <v>327</v>
      </c>
      <c r="G94" s="3" t="s">
        <v>513</v>
      </c>
      <c r="H94" s="3" t="s">
        <v>408</v>
      </c>
      <c r="I94" s="3" t="s">
        <v>530</v>
      </c>
      <c r="J94" s="6"/>
      <c r="K94" s="11" t="str" cm="1">
        <f t="array" ref="K94">_xlfn.LET(
    _xlpm.name, TRIM(B94),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Sawyer Hays</v>
      </c>
      <c r="L94" t="str" cm="1">
        <f t="array" ref="L94">_xlfn.LET(
    _xlpm.name, TRIM(B94),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Hays_Sawyer_25</v>
      </c>
      <c r="M94" s="3" t="s">
        <v>205</v>
      </c>
      <c r="N94" t="str">
        <f>Table5[[#This Row],[Yr.]]</f>
        <v>Sr.</v>
      </c>
    </row>
    <row r="95" spans="1:14" ht="27.75" thickBot="1" x14ac:dyDescent="0.25">
      <c r="A95" s="2">
        <v>66</v>
      </c>
      <c r="B95" s="9" t="s">
        <v>50</v>
      </c>
      <c r="C95" s="3" t="s">
        <v>205</v>
      </c>
      <c r="D95" s="4">
        <v>45812</v>
      </c>
      <c r="E95" s="5">
        <v>300</v>
      </c>
      <c r="F95" s="5" t="s">
        <v>343</v>
      </c>
      <c r="G95" s="3" t="s">
        <v>413</v>
      </c>
      <c r="H95" s="3" t="s">
        <v>519</v>
      </c>
      <c r="I95" s="3" t="s">
        <v>521</v>
      </c>
      <c r="J95" s="6"/>
      <c r="K95" s="11" t="str" cm="1">
        <f t="array" ref="K95">_xlfn.LET(
    _xlpm.name, TRIM(B95),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Giovanni Kovacs</v>
      </c>
      <c r="L95" t="str" cm="1">
        <f t="array" ref="L95">_xlfn.LET(
    _xlpm.name, TRIM(B95),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Kovacs_Giovanni_25</v>
      </c>
      <c r="M95" s="3" t="s">
        <v>205</v>
      </c>
      <c r="N95" t="str">
        <f>Table5[[#This Row],[Yr.]]</f>
        <v>R-Fr.</v>
      </c>
    </row>
    <row r="96" spans="1:14" ht="27.75" thickBot="1" x14ac:dyDescent="0.25">
      <c r="A96" s="2">
        <v>74</v>
      </c>
      <c r="B96" s="9" t="s">
        <v>55</v>
      </c>
      <c r="C96" s="3" t="s">
        <v>205</v>
      </c>
      <c r="D96" s="4">
        <v>45813</v>
      </c>
      <c r="E96" s="5">
        <v>300</v>
      </c>
      <c r="F96" s="5" t="s">
        <v>327</v>
      </c>
      <c r="G96" s="3" t="s">
        <v>513</v>
      </c>
      <c r="H96" s="3" t="s">
        <v>404</v>
      </c>
      <c r="I96" s="3" t="s">
        <v>524</v>
      </c>
      <c r="J96" s="6"/>
      <c r="K96" s="11" t="str" cm="1">
        <f t="array" ref="K96">_xlfn.LET(
    _xlpm.name, TRIM(B96),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Aidan Meek</v>
      </c>
      <c r="L96" t="str" cm="1">
        <f t="array" ref="L96">_xlfn.LET(
    _xlpm.name, TRIM(B96),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Meek_Aidan_25</v>
      </c>
      <c r="M96" s="3" t="s">
        <v>205</v>
      </c>
      <c r="N96" t="str">
        <f>Table5[[#This Row],[Yr.]]</f>
        <v>Sr.</v>
      </c>
    </row>
    <row r="97" spans="1:14" ht="27.75" thickBot="1" x14ac:dyDescent="0.25">
      <c r="A97" s="2">
        <v>53</v>
      </c>
      <c r="B97" s="9" t="s">
        <v>51</v>
      </c>
      <c r="C97" s="3" t="s">
        <v>205</v>
      </c>
      <c r="D97" s="4">
        <v>45809</v>
      </c>
      <c r="E97" s="5">
        <v>304</v>
      </c>
      <c r="F97" s="5" t="s">
        <v>327</v>
      </c>
      <c r="G97" s="3" t="s">
        <v>378</v>
      </c>
      <c r="H97" s="3" t="s">
        <v>502</v>
      </c>
      <c r="I97" s="3" t="s">
        <v>503</v>
      </c>
      <c r="J97" s="6" t="s">
        <v>504</v>
      </c>
      <c r="K97" s="11" t="str" cm="1">
        <f t="array" ref="K97">_xlfn.LET(
    _xlpm.name, TRIM(B97),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Elijah Ortiz</v>
      </c>
      <c r="L97" t="str" cm="1">
        <f t="array" ref="L97">_xlfn.LET(
    _xlpm.name, TRIM(B97),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Ortiz_Elijah_25</v>
      </c>
      <c r="M97" s="3" t="s">
        <v>205</v>
      </c>
      <c r="N97" t="str">
        <f>Table5[[#This Row],[Yr.]]</f>
        <v>Sr.</v>
      </c>
    </row>
    <row r="98" spans="1:14" ht="27.75" thickBot="1" x14ac:dyDescent="0.25">
      <c r="A98" s="2">
        <v>64</v>
      </c>
      <c r="B98" s="9" t="s">
        <v>49</v>
      </c>
      <c r="C98" s="3" t="s">
        <v>205</v>
      </c>
      <c r="D98" s="4">
        <v>45812</v>
      </c>
      <c r="E98" s="5">
        <v>307</v>
      </c>
      <c r="F98" s="5" t="s">
        <v>347</v>
      </c>
      <c r="G98" s="3" t="s">
        <v>403</v>
      </c>
      <c r="H98" s="3" t="s">
        <v>519</v>
      </c>
      <c r="I98" s="3" t="s">
        <v>520</v>
      </c>
      <c r="J98" s="6"/>
      <c r="K98" s="11" t="str" cm="1">
        <f t="array" ref="K98">_xlfn.LET(
    _xlpm.name, TRIM(B98),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Brandon Sousa</v>
      </c>
      <c r="L98" t="str" cm="1">
        <f t="array" ref="L98">_xlfn.LET(
    _xlpm.name, TRIM(B98),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Sousa_Brandon_25</v>
      </c>
      <c r="M98" s="3" t="s">
        <v>205</v>
      </c>
      <c r="N98" t="str">
        <f>Table5[[#This Row],[Yr.]]</f>
        <v>Jr.</v>
      </c>
    </row>
    <row r="99" spans="1:14" ht="27.75" thickBot="1" x14ac:dyDescent="0.25">
      <c r="A99" s="2">
        <v>92</v>
      </c>
      <c r="B99" s="9" t="s">
        <v>61</v>
      </c>
      <c r="C99" s="3" t="s">
        <v>88</v>
      </c>
      <c r="D99" s="4">
        <v>45810</v>
      </c>
      <c r="E99" s="5">
        <v>308</v>
      </c>
      <c r="F99" s="5" t="s">
        <v>327</v>
      </c>
      <c r="G99" s="3" t="s">
        <v>353</v>
      </c>
      <c r="H99" s="3" t="s">
        <v>564</v>
      </c>
      <c r="I99" s="3" t="s">
        <v>565</v>
      </c>
      <c r="J99" s="6" t="s">
        <v>566</v>
      </c>
      <c r="K99" s="11" t="str" cm="1">
        <f t="array" ref="K99">_xlfn.LET(
    _xlpm.name, TRIM(B99),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Jordan Jefferson</v>
      </c>
      <c r="L99" t="str" cm="1">
        <f t="array" ref="L99">_xlfn.LET(
    _xlpm.name, TRIM(B99),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Jefferson_Jordan_25</v>
      </c>
      <c r="M99" s="3" t="s">
        <v>88</v>
      </c>
      <c r="N99" t="str">
        <f>Table5[[#This Row],[Yr.]]</f>
        <v>Sr.</v>
      </c>
    </row>
    <row r="100" spans="1:14" ht="28.5" thickBot="1" x14ac:dyDescent="0.25">
      <c r="A100" s="2">
        <v>75</v>
      </c>
      <c r="B100" s="9" t="s">
        <v>295</v>
      </c>
      <c r="C100" s="3" t="s">
        <v>205</v>
      </c>
      <c r="D100" s="4">
        <v>45812</v>
      </c>
      <c r="E100" s="5">
        <v>310</v>
      </c>
      <c r="F100" s="5" t="s">
        <v>347</v>
      </c>
      <c r="G100" s="3" t="s">
        <v>353</v>
      </c>
      <c r="H100" s="3" t="s">
        <v>369</v>
      </c>
      <c r="I100" s="3" t="s">
        <v>533</v>
      </c>
      <c r="J100" s="6" t="s">
        <v>534</v>
      </c>
      <c r="K100" s="11" t="str" cm="1">
        <f t="array" ref="K100">_xlfn.LET(
    _xlpm.name, TRIM(B100),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DeAnthony Sheffield</v>
      </c>
      <c r="L100" t="str" cm="1">
        <f t="array" ref="L100">_xlfn.LET(
    _xlpm.name, TRIM(B100),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Sheffield_DeAnthony_25</v>
      </c>
      <c r="M100" s="3" t="s">
        <v>205</v>
      </c>
      <c r="N100" t="str">
        <f>Table5[[#This Row],[Yr.]]</f>
        <v>Jr.</v>
      </c>
    </row>
    <row r="101" spans="1:14" ht="27.75" thickBot="1" x14ac:dyDescent="0.25">
      <c r="A101" s="2">
        <v>71</v>
      </c>
      <c r="B101" s="9" t="s">
        <v>54</v>
      </c>
      <c r="C101" s="3" t="s">
        <v>205</v>
      </c>
      <c r="D101" s="4">
        <v>45813</v>
      </c>
      <c r="E101" s="5">
        <v>312</v>
      </c>
      <c r="F101" s="5" t="s">
        <v>347</v>
      </c>
      <c r="G101" s="3" t="s">
        <v>378</v>
      </c>
      <c r="H101" s="3" t="s">
        <v>527</v>
      </c>
      <c r="I101" s="3" t="s">
        <v>528</v>
      </c>
      <c r="J101" s="6" t="s">
        <v>529</v>
      </c>
      <c r="K101" s="11" t="str" cm="1">
        <f t="array" ref="K101">_xlfn.LET(
    _xlpm.name, TRIM(B101),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Bryson Summers</v>
      </c>
      <c r="L101" t="str" cm="1">
        <f t="array" ref="L101">_xlfn.LET(
    _xlpm.name, TRIM(B101),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Summers_Bryson_25</v>
      </c>
      <c r="M101" s="3" t="s">
        <v>205</v>
      </c>
      <c r="N101" t="str">
        <f>Table5[[#This Row],[Yr.]]</f>
        <v>Jr.</v>
      </c>
    </row>
    <row r="102" spans="1:14" ht="27.75" thickBot="1" x14ac:dyDescent="0.25">
      <c r="A102" s="2">
        <v>73</v>
      </c>
      <c r="B102" s="9" t="s">
        <v>64</v>
      </c>
      <c r="C102" s="3" t="s">
        <v>205</v>
      </c>
      <c r="D102" s="4">
        <v>45811</v>
      </c>
      <c r="E102" s="5">
        <v>312</v>
      </c>
      <c r="F102" s="5" t="s">
        <v>343</v>
      </c>
      <c r="G102" s="3" t="s">
        <v>378</v>
      </c>
      <c r="H102" s="3" t="s">
        <v>531</v>
      </c>
      <c r="I102" s="3" t="s">
        <v>532</v>
      </c>
      <c r="J102" s="6"/>
      <c r="K102" s="11" t="str" cm="1">
        <f t="array" ref="K102">_xlfn.LET(
    _xlpm.name, TRIM(B102),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Jose Soto</v>
      </c>
      <c r="L102" t="str" cm="1">
        <f t="array" ref="L102">_xlfn.LET(
    _xlpm.name, TRIM(B102),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Soto_Jose_25</v>
      </c>
      <c r="M102" s="3" t="s">
        <v>205</v>
      </c>
      <c r="N102" t="str">
        <f>Table5[[#This Row],[Yr.]]</f>
        <v>R-Fr.</v>
      </c>
    </row>
    <row r="103" spans="1:14" ht="28.5" thickBot="1" x14ac:dyDescent="0.25">
      <c r="A103" s="2">
        <v>77</v>
      </c>
      <c r="B103" s="9" t="s">
        <v>296</v>
      </c>
      <c r="C103" s="3" t="s">
        <v>205</v>
      </c>
      <c r="D103" s="4">
        <v>45814</v>
      </c>
      <c r="E103" s="5">
        <v>315</v>
      </c>
      <c r="F103" s="5" t="s">
        <v>367</v>
      </c>
      <c r="G103" s="3" t="s">
        <v>368</v>
      </c>
      <c r="H103" s="3" t="s">
        <v>535</v>
      </c>
      <c r="I103" s="3" t="s">
        <v>536</v>
      </c>
      <c r="J103" s="6"/>
      <c r="K103" s="11" t="str" cm="1">
        <f t="array" ref="K103">_xlfn.LET(
    _xlpm.name, TRIM(B103),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Jeremiah Stallworth</v>
      </c>
      <c r="L103" t="str" cm="1">
        <f t="array" ref="L103">_xlfn.LET(
    _xlpm.name, TRIM(B103),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Stallworth_Jeremiah_25</v>
      </c>
      <c r="M103" s="3" t="s">
        <v>205</v>
      </c>
      <c r="N103" t="str">
        <f>Table5[[#This Row],[Yr.]]</f>
        <v>Fr.</v>
      </c>
    </row>
    <row r="104" spans="1:14" ht="15.75" thickBot="1" x14ac:dyDescent="0.25">
      <c r="A104" s="2">
        <v>59</v>
      </c>
      <c r="B104" s="9" t="s">
        <v>59</v>
      </c>
      <c r="C104" s="3" t="s">
        <v>88</v>
      </c>
      <c r="D104" s="4">
        <v>45810</v>
      </c>
      <c r="E104" s="5">
        <v>318</v>
      </c>
      <c r="F104" s="5" t="s">
        <v>322</v>
      </c>
      <c r="G104" s="3" t="s">
        <v>353</v>
      </c>
      <c r="H104" s="3" t="s">
        <v>414</v>
      </c>
      <c r="I104" s="3" t="s">
        <v>512</v>
      </c>
      <c r="J104" s="6" t="s">
        <v>416</v>
      </c>
      <c r="K104" s="11" t="str" cm="1">
        <f t="array" ref="K104">_xlfn.LET(
    _xlpm.name, TRIM(B104),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DeSean Watts</v>
      </c>
      <c r="L104" t="str" cm="1">
        <f t="array" ref="L104">_xlfn.LET(
    _xlpm.name, TRIM(B104),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Watts_DeSean_25</v>
      </c>
      <c r="M104" s="3" t="s">
        <v>88</v>
      </c>
      <c r="N104" t="str">
        <f>Table5[[#This Row],[Yr.]]</f>
        <v>So.</v>
      </c>
    </row>
    <row r="105" spans="1:14" ht="27.75" thickBot="1" x14ac:dyDescent="0.25">
      <c r="A105" s="2">
        <v>91</v>
      </c>
      <c r="B105" s="9" t="s">
        <v>303</v>
      </c>
      <c r="C105" s="3" t="s">
        <v>88</v>
      </c>
      <c r="D105" s="4">
        <v>45811</v>
      </c>
      <c r="E105" s="5">
        <v>318</v>
      </c>
      <c r="F105" s="5" t="s">
        <v>327</v>
      </c>
      <c r="G105" s="3" t="s">
        <v>323</v>
      </c>
      <c r="H105" s="3" t="s">
        <v>559</v>
      </c>
      <c r="I105" s="3" t="s">
        <v>560</v>
      </c>
      <c r="J105" s="6" t="s">
        <v>561</v>
      </c>
      <c r="K105" s="11" t="str" cm="1">
        <f t="array" ref="K105">_xlfn.LET(
    _xlpm.name, TRIM(B105),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James Gillespie</v>
      </c>
      <c r="L105" t="str" cm="1">
        <f t="array" ref="L105">_xlfn.LET(
    _xlpm.name, TRIM(B105),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Gillespie_James_25</v>
      </c>
      <c r="M105" s="3" t="s">
        <v>88</v>
      </c>
      <c r="N105" t="str">
        <f>Table5[[#This Row],[Yr.]]</f>
        <v>Sr.</v>
      </c>
    </row>
    <row r="106" spans="1:14" ht="27.75" thickBot="1" x14ac:dyDescent="0.25">
      <c r="A106" s="2">
        <v>62</v>
      </c>
      <c r="B106" s="9" t="s">
        <v>53</v>
      </c>
      <c r="C106" s="3" t="s">
        <v>205</v>
      </c>
      <c r="D106" s="4">
        <v>45811</v>
      </c>
      <c r="E106" s="5">
        <v>321</v>
      </c>
      <c r="F106" s="5" t="s">
        <v>327</v>
      </c>
      <c r="G106" s="3" t="s">
        <v>513</v>
      </c>
      <c r="H106" s="3" t="s">
        <v>514</v>
      </c>
      <c r="I106" s="3" t="s">
        <v>515</v>
      </c>
      <c r="J106" s="6"/>
      <c r="K106" s="11" t="str" cm="1">
        <f t="array" ref="K106">_xlfn.LET(
    _xlpm.name, TRIM(B106),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Kenndel Riley</v>
      </c>
      <c r="L106" t="str" cm="1">
        <f t="array" ref="L106">_xlfn.LET(
    _xlpm.name, TRIM(B106),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Riley_Kenndel_25</v>
      </c>
      <c r="M106" s="3" t="s">
        <v>205</v>
      </c>
      <c r="N106" t="str">
        <f>Table5[[#This Row],[Yr.]]</f>
        <v>Sr.</v>
      </c>
    </row>
    <row r="107" spans="1:14" ht="27.75" thickBot="1" x14ac:dyDescent="0.25">
      <c r="A107" s="2">
        <v>70</v>
      </c>
      <c r="B107" s="9" t="s">
        <v>294</v>
      </c>
      <c r="C107" s="3" t="s">
        <v>205</v>
      </c>
      <c r="D107" s="4">
        <v>45814</v>
      </c>
      <c r="E107" s="5">
        <v>329</v>
      </c>
      <c r="F107" s="5" t="s">
        <v>367</v>
      </c>
      <c r="G107" s="3" t="s">
        <v>368</v>
      </c>
      <c r="H107" s="3" t="s">
        <v>525</v>
      </c>
      <c r="I107" s="3" t="s">
        <v>526</v>
      </c>
      <c r="J107" s="6"/>
      <c r="K107" s="11" t="str" cm="1">
        <f t="array" ref="K107">_xlfn.LET(
    _xlpm.name, TRIM(B107),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Jaxon Moore</v>
      </c>
      <c r="L107" t="str" cm="1">
        <f t="array" ref="L107">_xlfn.LET(
    _xlpm.name, TRIM(B107),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Moore_Jaxon_25</v>
      </c>
      <c r="M107" s="3" t="s">
        <v>205</v>
      </c>
      <c r="N107" t="str">
        <f>Table5[[#This Row],[Yr.]]</f>
        <v>Fr.</v>
      </c>
    </row>
    <row r="108" spans="1:14" ht="27.75" thickBot="1" x14ac:dyDescent="0.25">
      <c r="A108" s="2">
        <v>93</v>
      </c>
      <c r="B108" s="9" t="s">
        <v>304</v>
      </c>
      <c r="C108" s="3" t="s">
        <v>88</v>
      </c>
      <c r="D108" s="7">
        <v>36678</v>
      </c>
      <c r="E108" s="5">
        <v>330</v>
      </c>
      <c r="F108" s="5" t="s">
        <v>367</v>
      </c>
      <c r="G108" s="3" t="s">
        <v>368</v>
      </c>
      <c r="H108" s="3" t="s">
        <v>369</v>
      </c>
      <c r="I108" s="3" t="s">
        <v>567</v>
      </c>
      <c r="J108" s="6"/>
      <c r="K108" s="11" t="str" cm="1">
        <f t="array" ref="K108">_xlfn.LET(
    _xlpm.name, TRIM(B108),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Malachi Kindle</v>
      </c>
      <c r="L108" t="str" cm="1">
        <f t="array" ref="L108">_xlfn.LET(
    _xlpm.name, TRIM(B108),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Kindle_Malachi_25</v>
      </c>
      <c r="M108" s="3" t="s">
        <v>88</v>
      </c>
      <c r="N108" t="str">
        <f>Table5[[#This Row],[Yr.]]</f>
        <v>Fr.</v>
      </c>
    </row>
    <row r="109" spans="1:14" ht="27.75" thickBot="1" x14ac:dyDescent="0.25">
      <c r="A109" s="2">
        <v>68</v>
      </c>
      <c r="B109" s="9" t="s">
        <v>57</v>
      </c>
      <c r="C109" s="3" t="s">
        <v>205</v>
      </c>
      <c r="D109" s="4">
        <v>45812</v>
      </c>
      <c r="E109" s="5">
        <v>339</v>
      </c>
      <c r="F109" s="5" t="s">
        <v>322</v>
      </c>
      <c r="G109" s="3" t="s">
        <v>378</v>
      </c>
      <c r="H109" s="3" t="s">
        <v>404</v>
      </c>
      <c r="I109" s="3" t="s">
        <v>524</v>
      </c>
      <c r="J109" s="6"/>
      <c r="K109" s="11" t="str" cm="1">
        <f t="array" ref="K109">_xlfn.LET(
    _xlpm.name, TRIM(B109),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Davis May</v>
      </c>
      <c r="L109" t="str" cm="1">
        <f t="array" ref="L109">_xlfn.LET(
    _xlpm.name, TRIM(B109),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May_Davis_25</v>
      </c>
      <c r="M109" s="3" t="s">
        <v>205</v>
      </c>
      <c r="N109" t="str">
        <f>Table5[[#This Row],[Yr.]]</f>
        <v>So.</v>
      </c>
    </row>
    <row r="110" spans="1:14" ht="27.75" thickBot="1" x14ac:dyDescent="0.25">
      <c r="A110" s="2">
        <v>90</v>
      </c>
      <c r="B110" s="9" t="s">
        <v>302</v>
      </c>
      <c r="C110" s="3" t="s">
        <v>88</v>
      </c>
      <c r="D110" s="4">
        <v>45813</v>
      </c>
      <c r="E110" s="5">
        <v>342</v>
      </c>
      <c r="F110" s="5" t="s">
        <v>347</v>
      </c>
      <c r="G110" s="3" t="s">
        <v>323</v>
      </c>
      <c r="H110" s="3" t="s">
        <v>556</v>
      </c>
      <c r="I110" s="3" t="s">
        <v>557</v>
      </c>
      <c r="J110" s="6" t="s">
        <v>558</v>
      </c>
      <c r="K110" s="11" t="str" cm="1">
        <f t="array" ref="K110">_xlfn.LET(
    _xlpm.name, TRIM(B110),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Syncere Massey</v>
      </c>
      <c r="L110" t="str" cm="1">
        <f t="array" ref="L110">_xlfn.LET(
    _xlpm.name, TRIM(B110),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Massey_Syncere_25</v>
      </c>
      <c r="M110" s="3" t="s">
        <v>88</v>
      </c>
      <c r="N110" t="str">
        <f>Table5[[#This Row],[Yr.]]</f>
        <v>Jr.</v>
      </c>
    </row>
    <row r="111" spans="1:14" ht="15.75" thickBot="1" x14ac:dyDescent="0.25">
      <c r="A111" s="2">
        <v>79</v>
      </c>
      <c r="B111" s="9" t="s">
        <v>297</v>
      </c>
      <c r="C111" s="3" t="s">
        <v>205</v>
      </c>
      <c r="D111" s="4">
        <v>45816</v>
      </c>
      <c r="E111" s="5">
        <v>346</v>
      </c>
      <c r="F111" s="5" t="s">
        <v>538</v>
      </c>
      <c r="G111" s="3" t="s">
        <v>323</v>
      </c>
      <c r="H111" s="3" t="s">
        <v>539</v>
      </c>
      <c r="I111" s="3" t="s">
        <v>540</v>
      </c>
      <c r="J111" s="6" t="s">
        <v>541</v>
      </c>
      <c r="K111" s="11" t="str" cm="1">
        <f t="array" ref="K111">_xlfn.LET(
    _xlpm.name, TRIM(B111),
    _xlpm.nameClean, SUBSTITUTE(SUBSTITUTE(_xlpm.name, ", Jr.", ""), " III", ""),
    _xlpm.parts, _xlfn.TEXTSPLIT(_xlpm.nameClean, " "),
    _xlpm.count, COUNTA(_xlpm.parts),
    _xlpm.first, INDEX(_xlpm.parts, 1),
    _xlpm.last, INDEX(_xlpm.parts, _xlpm.count),
    _xlpm.first &amp; " " &amp; _xlpm.last
)</f>
        <v>Jordan Herman</v>
      </c>
      <c r="L111" t="str" cm="1">
        <f t="array" ref="L111">_xlfn.LET(
    _xlpm.name, TRIM(B111),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Herman_Jordan_25</v>
      </c>
      <c r="M111" s="3" t="s">
        <v>205</v>
      </c>
      <c r="N111" t="str">
        <f>Table5[[#This Row],[Yr.]]</f>
        <v>R-Jr.</v>
      </c>
    </row>
    <row r="112" spans="1:14" ht="15.75" thickBot="1" x14ac:dyDescent="0.25">
      <c r="B112" s="9" t="s">
        <v>578</v>
      </c>
      <c r="L112" t="str" cm="1">
        <f t="array" ref="L112">_xlfn.LET(
    _xlpm.name, TRIM(B112),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Johnson_Michael_25</v>
      </c>
      <c r="M112" s="33" t="s">
        <v>80</v>
      </c>
      <c r="N112">
        <f>Table5[[#This Row],[Yr.]]</f>
        <v>0</v>
      </c>
    </row>
    <row r="113" spans="1:14" x14ac:dyDescent="0.2">
      <c r="A113" s="36"/>
      <c r="B113" s="25" t="s">
        <v>271</v>
      </c>
      <c r="C113" s="37" t="s">
        <v>93</v>
      </c>
      <c r="D113" s="38"/>
      <c r="E113" s="39"/>
      <c r="F113" s="39"/>
      <c r="G113" s="37"/>
      <c r="H113" s="37"/>
      <c r="I113" s="37"/>
      <c r="J113" s="40"/>
      <c r="K113" s="11"/>
      <c r="L113" t="str" cm="1">
        <f t="array" ref="L113">_xlfn.LET(
    _xlpm.name, TRIM(B113),
    _xlpm.nameClean, SUBSTITUTE(SUBSTITUTE(_xlpm.name, ", Jr.", ""), " III", ""),
    _xlpm.parts, _xlfn.TEXTSPLIT(_xlpm.nameClean, " "),
    _xlpm.count, COUNTA(_xlpm.parts),
    _xlpm.first, INDEX(_xlpm.parts, 1),
    _xlpm.last, INDEX(_xlpm.parts, _xlpm.count),
    _xlpm.result, _xlpm.last &amp; "_" &amp; _xlpm.first &amp; "_25",
    _xlpm.result
)</f>
        <v>Hall_Agiye_25</v>
      </c>
      <c r="M113" s="37" t="s">
        <v>93</v>
      </c>
      <c r="N113">
        <f>Table5[[#This Row],[Yr.]]</f>
        <v>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FDCA-A9F2-4573-8231-44C4BDA14788}">
  <dimension ref="A1:J114"/>
  <sheetViews>
    <sheetView workbookViewId="0">
      <selection activeCell="M3" sqref="M3"/>
    </sheetView>
  </sheetViews>
  <sheetFormatPr defaultRowHeight="15" x14ac:dyDescent="0.2"/>
  <cols>
    <col min="4" max="4" width="17.75390625" customWidth="1"/>
  </cols>
  <sheetData>
    <row r="1" spans="1:10" x14ac:dyDescent="0.2">
      <c r="A1" s="107" t="s">
        <v>309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5.75" thickBot="1" x14ac:dyDescent="0.25">
      <c r="A2" s="1" t="s">
        <v>310</v>
      </c>
      <c r="B2" s="1" t="s">
        <v>311</v>
      </c>
      <c r="C2" s="1" t="s">
        <v>312</v>
      </c>
      <c r="D2" s="1" t="s">
        <v>313</v>
      </c>
      <c r="E2" s="1" t="s">
        <v>314</v>
      </c>
      <c r="F2" s="1" t="s">
        <v>315</v>
      </c>
      <c r="G2" s="1" t="s">
        <v>316</v>
      </c>
      <c r="H2" s="1" t="s">
        <v>317</v>
      </c>
      <c r="I2" s="1" t="s">
        <v>318</v>
      </c>
      <c r="J2" s="1" t="s">
        <v>319</v>
      </c>
    </row>
    <row r="3" spans="1:10" ht="41.25" thickBot="1" x14ac:dyDescent="0.25">
      <c r="A3" s="2">
        <v>0</v>
      </c>
      <c r="B3" s="62" t="s">
        <v>320</v>
      </c>
      <c r="C3" s="3" t="s">
        <v>321</v>
      </c>
      <c r="D3" s="4">
        <v>45787</v>
      </c>
      <c r="E3" s="5">
        <v>162</v>
      </c>
      <c r="F3" s="5" t="s">
        <v>322</v>
      </c>
      <c r="G3" s="3" t="s">
        <v>323</v>
      </c>
      <c r="H3" s="3" t="s">
        <v>324</v>
      </c>
      <c r="I3" s="3" t="s">
        <v>325</v>
      </c>
      <c r="J3" s="6" t="s">
        <v>326</v>
      </c>
    </row>
    <row r="4" spans="1:10" ht="41.25" thickBot="1" x14ac:dyDescent="0.25">
      <c r="A4" s="2">
        <v>0</v>
      </c>
      <c r="B4" s="62" t="s">
        <v>270</v>
      </c>
      <c r="C4" s="3" t="s">
        <v>80</v>
      </c>
      <c r="D4" s="4">
        <v>45787</v>
      </c>
      <c r="E4" s="5">
        <v>233</v>
      </c>
      <c r="F4" s="5" t="s">
        <v>327</v>
      </c>
      <c r="G4" s="3" t="s">
        <v>323</v>
      </c>
      <c r="H4" s="3" t="s">
        <v>328</v>
      </c>
      <c r="I4" s="3" t="s">
        <v>329</v>
      </c>
      <c r="J4" s="6" t="s">
        <v>330</v>
      </c>
    </row>
    <row r="5" spans="1:10" ht="54" thickBot="1" x14ac:dyDescent="0.25">
      <c r="A5" s="2">
        <v>1</v>
      </c>
      <c r="B5" s="62" t="s">
        <v>41</v>
      </c>
      <c r="C5" s="3" t="s">
        <v>80</v>
      </c>
      <c r="D5" s="4">
        <v>45785</v>
      </c>
      <c r="E5" s="5">
        <v>169</v>
      </c>
      <c r="F5" s="5" t="s">
        <v>327</v>
      </c>
      <c r="G5" s="3" t="s">
        <v>323</v>
      </c>
      <c r="H5" s="3" t="s">
        <v>331</v>
      </c>
      <c r="I5" s="3" t="s">
        <v>332</v>
      </c>
      <c r="J5" s="6" t="s">
        <v>333</v>
      </c>
    </row>
    <row r="6" spans="1:10" ht="54" thickBot="1" x14ac:dyDescent="0.25">
      <c r="A6" s="2">
        <v>2</v>
      </c>
      <c r="B6" s="62" t="s">
        <v>334</v>
      </c>
      <c r="C6" s="3" t="s">
        <v>80</v>
      </c>
      <c r="D6" s="4">
        <v>45786</v>
      </c>
      <c r="E6" s="5">
        <v>195</v>
      </c>
      <c r="F6" s="5" t="s">
        <v>327</v>
      </c>
      <c r="G6" s="3" t="s">
        <v>323</v>
      </c>
      <c r="H6" s="3" t="s">
        <v>335</v>
      </c>
      <c r="I6" s="3" t="s">
        <v>336</v>
      </c>
      <c r="J6" s="6" t="s">
        <v>337</v>
      </c>
    </row>
    <row r="7" spans="1:10" ht="41.25" thickBot="1" x14ac:dyDescent="0.25">
      <c r="A7" s="2">
        <v>2</v>
      </c>
      <c r="B7" s="62" t="s">
        <v>29</v>
      </c>
      <c r="C7" s="3" t="s">
        <v>338</v>
      </c>
      <c r="D7" s="4">
        <v>45813</v>
      </c>
      <c r="E7" s="5">
        <v>204</v>
      </c>
      <c r="F7" s="5" t="s">
        <v>339</v>
      </c>
      <c r="G7" s="3" t="s">
        <v>323</v>
      </c>
      <c r="H7" s="3" t="s">
        <v>340</v>
      </c>
      <c r="I7" s="3" t="s">
        <v>341</v>
      </c>
      <c r="J7" s="6" t="s">
        <v>342</v>
      </c>
    </row>
    <row r="8" spans="1:10" ht="41.25" thickBot="1" x14ac:dyDescent="0.25">
      <c r="A8" s="2">
        <v>3</v>
      </c>
      <c r="B8" s="62" t="s">
        <v>7</v>
      </c>
      <c r="C8" s="3" t="s">
        <v>93</v>
      </c>
      <c r="D8" s="4">
        <v>45788</v>
      </c>
      <c r="E8" s="5">
        <v>172</v>
      </c>
      <c r="F8" s="5" t="s">
        <v>343</v>
      </c>
      <c r="G8" s="3" t="s">
        <v>323</v>
      </c>
      <c r="H8" s="3" t="s">
        <v>344</v>
      </c>
      <c r="I8" s="3" t="s">
        <v>345</v>
      </c>
      <c r="J8" s="6" t="s">
        <v>346</v>
      </c>
    </row>
    <row r="9" spans="1:10" ht="28.5" thickBot="1" x14ac:dyDescent="0.25">
      <c r="A9" s="2">
        <v>3</v>
      </c>
      <c r="B9" s="62" t="s">
        <v>72</v>
      </c>
      <c r="C9" s="3" t="s">
        <v>88</v>
      </c>
      <c r="D9" s="4">
        <v>45813</v>
      </c>
      <c r="E9" s="5">
        <v>288</v>
      </c>
      <c r="F9" s="5" t="s">
        <v>347</v>
      </c>
      <c r="G9" s="3" t="s">
        <v>323</v>
      </c>
      <c r="H9" s="3" t="s">
        <v>348</v>
      </c>
      <c r="I9" s="3" t="s">
        <v>349</v>
      </c>
      <c r="J9" s="6" t="s">
        <v>350</v>
      </c>
    </row>
    <row r="10" spans="1:10" ht="28.5" thickBot="1" x14ac:dyDescent="0.25">
      <c r="A10" s="2">
        <v>4</v>
      </c>
      <c r="B10" s="62" t="s">
        <v>273</v>
      </c>
      <c r="C10" s="3" t="s">
        <v>351</v>
      </c>
      <c r="D10" s="7">
        <v>36678</v>
      </c>
      <c r="E10" s="5">
        <v>175</v>
      </c>
      <c r="F10" s="5" t="s">
        <v>352</v>
      </c>
      <c r="G10" s="3" t="s">
        <v>353</v>
      </c>
      <c r="H10" s="3" t="s">
        <v>354</v>
      </c>
      <c r="I10" s="3" t="s">
        <v>355</v>
      </c>
      <c r="J10" s="6" t="s">
        <v>356</v>
      </c>
    </row>
    <row r="11" spans="1:10" ht="42" thickBot="1" x14ac:dyDescent="0.25">
      <c r="A11" s="2">
        <v>4</v>
      </c>
      <c r="B11" s="62" t="s">
        <v>357</v>
      </c>
      <c r="C11" s="3" t="s">
        <v>80</v>
      </c>
      <c r="D11" s="4">
        <v>45810</v>
      </c>
      <c r="E11" s="5">
        <v>210</v>
      </c>
      <c r="F11" s="5" t="s">
        <v>322</v>
      </c>
      <c r="G11" s="3" t="s">
        <v>323</v>
      </c>
      <c r="H11" s="3" t="s">
        <v>358</v>
      </c>
      <c r="I11" s="3" t="s">
        <v>359</v>
      </c>
      <c r="J11" s="6" t="s">
        <v>360</v>
      </c>
    </row>
    <row r="12" spans="1:10" ht="41.25" thickBot="1" x14ac:dyDescent="0.25">
      <c r="A12" s="2">
        <v>5</v>
      </c>
      <c r="B12" s="62" t="s">
        <v>18</v>
      </c>
      <c r="C12" s="3" t="s">
        <v>351</v>
      </c>
      <c r="D12" s="4">
        <v>45809</v>
      </c>
      <c r="E12" s="5">
        <v>216</v>
      </c>
      <c r="F12" s="5" t="s">
        <v>327</v>
      </c>
      <c r="G12" s="3" t="s">
        <v>323</v>
      </c>
      <c r="H12" s="3" t="s">
        <v>361</v>
      </c>
      <c r="I12" s="3" t="s">
        <v>362</v>
      </c>
      <c r="J12" s="6" t="s">
        <v>363</v>
      </c>
    </row>
    <row r="13" spans="1:10" ht="28.5" thickBot="1" x14ac:dyDescent="0.25">
      <c r="A13" s="2">
        <v>5</v>
      </c>
      <c r="B13" s="62" t="s">
        <v>364</v>
      </c>
      <c r="C13" s="3" t="s">
        <v>99</v>
      </c>
      <c r="D13" s="4">
        <v>45812</v>
      </c>
      <c r="E13" s="5">
        <v>183</v>
      </c>
      <c r="F13" s="5" t="s">
        <v>352</v>
      </c>
      <c r="G13" s="3" t="s">
        <v>323</v>
      </c>
      <c r="H13" s="3" t="s">
        <v>348</v>
      </c>
      <c r="I13" s="3" t="s">
        <v>365</v>
      </c>
      <c r="J13" s="6" t="s">
        <v>366</v>
      </c>
    </row>
    <row r="14" spans="1:10" ht="41.25" thickBot="1" x14ac:dyDescent="0.25">
      <c r="A14" s="2">
        <v>6</v>
      </c>
      <c r="B14" s="62" t="s">
        <v>34</v>
      </c>
      <c r="C14" s="3" t="s">
        <v>99</v>
      </c>
      <c r="D14" s="4">
        <v>45810</v>
      </c>
      <c r="E14" s="5">
        <v>211</v>
      </c>
      <c r="F14" s="5" t="s">
        <v>367</v>
      </c>
      <c r="G14" s="3" t="s">
        <v>368</v>
      </c>
      <c r="H14" s="3" t="s">
        <v>369</v>
      </c>
      <c r="I14" s="3" t="s">
        <v>370</v>
      </c>
      <c r="J14" s="6"/>
    </row>
    <row r="15" spans="1:10" ht="41.25" thickBot="1" x14ac:dyDescent="0.25">
      <c r="A15" s="2">
        <v>6</v>
      </c>
      <c r="B15" s="62" t="s">
        <v>371</v>
      </c>
      <c r="C15" s="3" t="s">
        <v>321</v>
      </c>
      <c r="D15" s="4">
        <v>45809</v>
      </c>
      <c r="E15" s="5">
        <v>188</v>
      </c>
      <c r="F15" s="5" t="s">
        <v>352</v>
      </c>
      <c r="G15" s="3" t="s">
        <v>323</v>
      </c>
      <c r="H15" s="3" t="s">
        <v>372</v>
      </c>
      <c r="I15" s="3" t="s">
        <v>373</v>
      </c>
      <c r="J15" s="6" t="s">
        <v>374</v>
      </c>
    </row>
    <row r="16" spans="1:10" ht="28.5" thickBot="1" x14ac:dyDescent="0.25">
      <c r="A16" s="2">
        <v>7</v>
      </c>
      <c r="B16" s="62" t="s">
        <v>30</v>
      </c>
      <c r="C16" s="3" t="s">
        <v>99</v>
      </c>
      <c r="D16" s="4">
        <v>45810</v>
      </c>
      <c r="E16" s="5">
        <v>181</v>
      </c>
      <c r="F16" s="5" t="s">
        <v>347</v>
      </c>
      <c r="G16" s="3" t="s">
        <v>323</v>
      </c>
      <c r="H16" s="3" t="s">
        <v>375</v>
      </c>
      <c r="I16" s="3" t="s">
        <v>376</v>
      </c>
      <c r="J16" s="6" t="s">
        <v>377</v>
      </c>
    </row>
    <row r="17" spans="1:10" ht="28.5" thickBot="1" x14ac:dyDescent="0.25">
      <c r="A17" s="2">
        <v>7</v>
      </c>
      <c r="B17" s="62" t="s">
        <v>23</v>
      </c>
      <c r="C17" s="3" t="s">
        <v>351</v>
      </c>
      <c r="D17" s="4">
        <v>45788</v>
      </c>
      <c r="E17" s="5">
        <v>190</v>
      </c>
      <c r="F17" s="5" t="s">
        <v>327</v>
      </c>
      <c r="G17" s="3" t="s">
        <v>378</v>
      </c>
      <c r="H17" s="3" t="s">
        <v>379</v>
      </c>
      <c r="I17" s="3" t="s">
        <v>380</v>
      </c>
      <c r="J17" s="6" t="s">
        <v>381</v>
      </c>
    </row>
    <row r="18" spans="1:10" ht="41.25" thickBot="1" x14ac:dyDescent="0.25">
      <c r="A18" s="2">
        <v>8</v>
      </c>
      <c r="B18" s="62" t="s">
        <v>15</v>
      </c>
      <c r="C18" s="3" t="s">
        <v>93</v>
      </c>
      <c r="D18" s="4">
        <v>45786</v>
      </c>
      <c r="E18" s="5">
        <v>157</v>
      </c>
      <c r="F18" s="5" t="s">
        <v>327</v>
      </c>
      <c r="G18" s="3" t="s">
        <v>323</v>
      </c>
      <c r="H18" s="3" t="s">
        <v>382</v>
      </c>
      <c r="I18" s="3" t="s">
        <v>383</v>
      </c>
      <c r="J18" s="6" t="s">
        <v>384</v>
      </c>
    </row>
    <row r="19" spans="1:10" ht="41.25" thickBot="1" x14ac:dyDescent="0.25">
      <c r="A19" s="2">
        <v>8</v>
      </c>
      <c r="B19" s="62" t="s">
        <v>67</v>
      </c>
      <c r="C19" s="3" t="s">
        <v>88</v>
      </c>
      <c r="D19" s="4">
        <v>45810</v>
      </c>
      <c r="E19" s="5">
        <v>262</v>
      </c>
      <c r="F19" s="5" t="s">
        <v>347</v>
      </c>
      <c r="G19" s="3" t="s">
        <v>323</v>
      </c>
      <c r="H19" s="3" t="s">
        <v>375</v>
      </c>
      <c r="I19" s="3" t="s">
        <v>385</v>
      </c>
      <c r="J19" s="6" t="s">
        <v>330</v>
      </c>
    </row>
    <row r="20" spans="1:10" ht="41.25" thickBot="1" x14ac:dyDescent="0.25">
      <c r="A20" s="2">
        <v>9</v>
      </c>
      <c r="B20" s="62" t="s">
        <v>22</v>
      </c>
      <c r="C20" s="3" t="s">
        <v>906</v>
      </c>
      <c r="D20" s="7">
        <v>36678</v>
      </c>
      <c r="E20" s="5">
        <v>185</v>
      </c>
      <c r="F20" s="5" t="s">
        <v>343</v>
      </c>
      <c r="G20" s="3" t="s">
        <v>323</v>
      </c>
      <c r="H20" s="3" t="s">
        <v>386</v>
      </c>
      <c r="I20" s="3" t="s">
        <v>387</v>
      </c>
      <c r="J20" s="6" t="s">
        <v>384</v>
      </c>
    </row>
    <row r="21" spans="1:10" ht="41.25" thickBot="1" x14ac:dyDescent="0.25">
      <c r="A21" s="2">
        <v>9</v>
      </c>
      <c r="B21" s="62" t="s">
        <v>274</v>
      </c>
      <c r="C21" s="3" t="s">
        <v>88</v>
      </c>
      <c r="D21" s="4">
        <v>45788</v>
      </c>
      <c r="E21" s="5">
        <v>294</v>
      </c>
      <c r="F21" s="5" t="s">
        <v>347</v>
      </c>
      <c r="G21" s="3" t="s">
        <v>323</v>
      </c>
      <c r="H21" s="3" t="s">
        <v>388</v>
      </c>
      <c r="I21" s="3" t="s">
        <v>389</v>
      </c>
      <c r="J21" s="6" t="s">
        <v>390</v>
      </c>
    </row>
    <row r="22" spans="1:10" ht="41.25" thickBot="1" x14ac:dyDescent="0.25">
      <c r="A22" s="2">
        <v>10</v>
      </c>
      <c r="B22" s="62" t="s">
        <v>26</v>
      </c>
      <c r="C22" s="3" t="s">
        <v>321</v>
      </c>
      <c r="D22" s="4">
        <v>45810</v>
      </c>
      <c r="E22" s="5">
        <v>185</v>
      </c>
      <c r="F22" s="5" t="s">
        <v>347</v>
      </c>
      <c r="G22" s="3" t="s">
        <v>353</v>
      </c>
      <c r="H22" s="3" t="s">
        <v>391</v>
      </c>
      <c r="I22" s="3" t="s">
        <v>392</v>
      </c>
      <c r="J22" s="6" t="s">
        <v>393</v>
      </c>
    </row>
    <row r="23" spans="1:10" ht="28.5" thickBot="1" x14ac:dyDescent="0.25">
      <c r="A23" s="2">
        <v>10</v>
      </c>
      <c r="B23" s="62" t="s">
        <v>10</v>
      </c>
      <c r="C23" s="3" t="s">
        <v>93</v>
      </c>
      <c r="D23" s="4">
        <v>45812</v>
      </c>
      <c r="E23" s="5">
        <v>214</v>
      </c>
      <c r="F23" s="5" t="s">
        <v>347</v>
      </c>
      <c r="G23" s="3" t="s">
        <v>323</v>
      </c>
      <c r="H23" s="3" t="s">
        <v>394</v>
      </c>
      <c r="I23" s="3" t="s">
        <v>395</v>
      </c>
      <c r="J23" s="6" t="s">
        <v>396</v>
      </c>
    </row>
    <row r="24" spans="1:10" ht="41.25" thickBot="1" x14ac:dyDescent="0.25">
      <c r="A24" s="2">
        <v>11</v>
      </c>
      <c r="B24" s="62" t="s">
        <v>275</v>
      </c>
      <c r="C24" s="3" t="s">
        <v>351</v>
      </c>
      <c r="D24" s="7">
        <v>36678</v>
      </c>
      <c r="E24" s="5">
        <v>185</v>
      </c>
      <c r="F24" s="5" t="s">
        <v>347</v>
      </c>
      <c r="G24" s="3" t="s">
        <v>353</v>
      </c>
      <c r="H24" s="3" t="s">
        <v>397</v>
      </c>
      <c r="I24" s="3" t="s">
        <v>398</v>
      </c>
      <c r="J24" s="6" t="s">
        <v>399</v>
      </c>
    </row>
    <row r="25" spans="1:10" ht="41.25" thickBot="1" x14ac:dyDescent="0.25">
      <c r="A25" s="2">
        <v>11</v>
      </c>
      <c r="B25" s="62" t="s">
        <v>16</v>
      </c>
      <c r="C25" s="3" t="s">
        <v>93</v>
      </c>
      <c r="D25" s="4">
        <v>45809</v>
      </c>
      <c r="E25" s="5">
        <v>191</v>
      </c>
      <c r="F25" s="5" t="s">
        <v>339</v>
      </c>
      <c r="G25" s="3" t="s">
        <v>323</v>
      </c>
      <c r="H25" s="3" t="s">
        <v>400</v>
      </c>
      <c r="I25" s="3" t="s">
        <v>401</v>
      </c>
      <c r="J25" s="6" t="s">
        <v>402</v>
      </c>
    </row>
    <row r="26" spans="1:10" ht="41.25" thickBot="1" x14ac:dyDescent="0.25">
      <c r="A26" s="2">
        <v>12</v>
      </c>
      <c r="B26" s="62" t="s">
        <v>8</v>
      </c>
      <c r="C26" s="3" t="s">
        <v>321</v>
      </c>
      <c r="D26" s="7">
        <v>36678</v>
      </c>
      <c r="E26" s="5">
        <v>175</v>
      </c>
      <c r="F26" s="5" t="s">
        <v>347</v>
      </c>
      <c r="G26" s="3" t="s">
        <v>403</v>
      </c>
      <c r="H26" s="3" t="s">
        <v>404</v>
      </c>
      <c r="I26" s="3" t="s">
        <v>405</v>
      </c>
      <c r="J26" s="6" t="s">
        <v>406</v>
      </c>
    </row>
    <row r="27" spans="1:10" ht="41.25" thickBot="1" x14ac:dyDescent="0.25">
      <c r="A27" s="2">
        <v>12</v>
      </c>
      <c r="B27" s="62" t="s">
        <v>407</v>
      </c>
      <c r="C27" s="3" t="s">
        <v>93</v>
      </c>
      <c r="D27" s="4">
        <v>45810</v>
      </c>
      <c r="E27" s="5">
        <v>188</v>
      </c>
      <c r="F27" s="5" t="s">
        <v>322</v>
      </c>
      <c r="G27" s="3" t="s">
        <v>378</v>
      </c>
      <c r="H27" s="3" t="s">
        <v>408</v>
      </c>
      <c r="I27" s="3" t="s">
        <v>409</v>
      </c>
      <c r="J27" s="6"/>
    </row>
    <row r="28" spans="1:10" ht="42" thickBot="1" x14ac:dyDescent="0.25">
      <c r="A28" s="2">
        <v>13</v>
      </c>
      <c r="B28" s="62" t="s">
        <v>276</v>
      </c>
      <c r="C28" s="3" t="s">
        <v>93</v>
      </c>
      <c r="D28" s="4">
        <v>45786</v>
      </c>
      <c r="E28" s="5">
        <v>145</v>
      </c>
      <c r="F28" s="5" t="s">
        <v>343</v>
      </c>
      <c r="G28" s="3" t="s">
        <v>323</v>
      </c>
      <c r="H28" s="3" t="s">
        <v>410</v>
      </c>
      <c r="I28" s="3" t="s">
        <v>411</v>
      </c>
      <c r="J28" s="6" t="s">
        <v>412</v>
      </c>
    </row>
    <row r="29" spans="1:10" ht="28.5" thickBot="1" x14ac:dyDescent="0.25">
      <c r="A29" s="2">
        <v>13</v>
      </c>
      <c r="B29" s="62" t="s">
        <v>27</v>
      </c>
      <c r="C29" s="3" t="s">
        <v>351</v>
      </c>
      <c r="D29" s="4">
        <v>45810</v>
      </c>
      <c r="E29" s="5">
        <v>195</v>
      </c>
      <c r="F29" s="5" t="s">
        <v>347</v>
      </c>
      <c r="G29" s="3" t="s">
        <v>413</v>
      </c>
      <c r="H29" s="3" t="s">
        <v>414</v>
      </c>
      <c r="I29" s="3" t="s">
        <v>415</v>
      </c>
      <c r="J29" s="6" t="s">
        <v>416</v>
      </c>
    </row>
    <row r="30" spans="1:10" ht="41.25" thickBot="1" x14ac:dyDescent="0.25">
      <c r="A30" s="2">
        <v>14</v>
      </c>
      <c r="B30" s="62" t="s">
        <v>71</v>
      </c>
      <c r="C30" s="3" t="s">
        <v>80</v>
      </c>
      <c r="D30" s="4">
        <v>45784</v>
      </c>
      <c r="E30" s="5">
        <v>197</v>
      </c>
      <c r="F30" s="5" t="s">
        <v>322</v>
      </c>
      <c r="G30" s="3" t="s">
        <v>378</v>
      </c>
      <c r="H30" s="3" t="s">
        <v>408</v>
      </c>
      <c r="I30" s="3" t="s">
        <v>417</v>
      </c>
      <c r="J30" s="6"/>
    </row>
    <row r="31" spans="1:10" ht="41.25" thickBot="1" x14ac:dyDescent="0.25">
      <c r="A31" s="2">
        <v>14</v>
      </c>
      <c r="B31" s="62" t="s">
        <v>12</v>
      </c>
      <c r="C31" s="3" t="s">
        <v>93</v>
      </c>
      <c r="D31" s="7">
        <v>36678</v>
      </c>
      <c r="E31" s="5">
        <v>193</v>
      </c>
      <c r="F31" s="5" t="s">
        <v>367</v>
      </c>
      <c r="G31" s="3" t="s">
        <v>368</v>
      </c>
      <c r="H31" s="3" t="s">
        <v>418</v>
      </c>
      <c r="I31" s="3" t="s">
        <v>419</v>
      </c>
      <c r="J31" s="6"/>
    </row>
    <row r="32" spans="1:10" ht="41.25" thickBot="1" x14ac:dyDescent="0.25">
      <c r="A32" s="2">
        <v>14</v>
      </c>
      <c r="B32" s="62" t="s">
        <v>38</v>
      </c>
      <c r="C32" s="3" t="s">
        <v>88</v>
      </c>
      <c r="D32" s="4">
        <v>45809</v>
      </c>
      <c r="E32" s="5">
        <v>242</v>
      </c>
      <c r="F32" s="5" t="s">
        <v>327</v>
      </c>
      <c r="G32" s="3" t="s">
        <v>323</v>
      </c>
      <c r="H32" s="3" t="s">
        <v>420</v>
      </c>
      <c r="I32" s="3" t="s">
        <v>421</v>
      </c>
      <c r="J32" s="6" t="s">
        <v>384</v>
      </c>
    </row>
    <row r="33" spans="1:10" ht="28.5" thickBot="1" x14ac:dyDescent="0.25">
      <c r="A33" s="2">
        <v>15</v>
      </c>
      <c r="B33" s="62" t="s">
        <v>907</v>
      </c>
      <c r="C33" s="3" t="s">
        <v>425</v>
      </c>
      <c r="D33" s="7">
        <v>36678</v>
      </c>
      <c r="E33" s="5">
        <v>222</v>
      </c>
      <c r="F33" s="5" t="s">
        <v>339</v>
      </c>
      <c r="G33" s="3" t="s">
        <v>323</v>
      </c>
      <c r="H33" s="3" t="s">
        <v>414</v>
      </c>
      <c r="I33" s="3" t="s">
        <v>415</v>
      </c>
      <c r="J33" s="6" t="s">
        <v>426</v>
      </c>
    </row>
    <row r="34" spans="1:10" ht="54" thickBot="1" x14ac:dyDescent="0.25">
      <c r="A34" s="2">
        <v>15</v>
      </c>
      <c r="B34" s="62" t="s">
        <v>896</v>
      </c>
      <c r="C34" s="3" t="s">
        <v>99</v>
      </c>
      <c r="D34" s="4">
        <v>45813</v>
      </c>
      <c r="E34" s="5">
        <v>220</v>
      </c>
      <c r="F34" s="5" t="s">
        <v>327</v>
      </c>
      <c r="G34" s="3"/>
      <c r="H34" s="3" t="s">
        <v>908</v>
      </c>
      <c r="I34" s="3" t="s">
        <v>909</v>
      </c>
      <c r="J34" s="6" t="s">
        <v>910</v>
      </c>
    </row>
    <row r="35" spans="1:10" ht="28.5" thickBot="1" x14ac:dyDescent="0.25">
      <c r="A35" s="2">
        <v>16</v>
      </c>
      <c r="B35" s="62" t="s">
        <v>20</v>
      </c>
      <c r="C35" s="3" t="s">
        <v>351</v>
      </c>
      <c r="D35" s="4">
        <v>45810</v>
      </c>
      <c r="E35" s="5">
        <v>193</v>
      </c>
      <c r="F35" s="5" t="s">
        <v>327</v>
      </c>
      <c r="G35" s="3" t="s">
        <v>403</v>
      </c>
      <c r="H35" s="3" t="s">
        <v>427</v>
      </c>
      <c r="I35" s="3" t="s">
        <v>409</v>
      </c>
      <c r="J35" s="6" t="s">
        <v>260</v>
      </c>
    </row>
    <row r="36" spans="1:10" ht="28.5" thickBot="1" x14ac:dyDescent="0.25">
      <c r="A36" s="2">
        <v>16</v>
      </c>
      <c r="B36" s="62" t="s">
        <v>44</v>
      </c>
      <c r="C36" s="3" t="s">
        <v>139</v>
      </c>
      <c r="D36" s="4">
        <v>45813</v>
      </c>
      <c r="E36" s="5">
        <v>217</v>
      </c>
      <c r="F36" s="5" t="s">
        <v>347</v>
      </c>
      <c r="G36" s="3" t="s">
        <v>323</v>
      </c>
      <c r="H36" s="3" t="s">
        <v>428</v>
      </c>
      <c r="I36" s="3" t="s">
        <v>429</v>
      </c>
      <c r="J36" s="6" t="s">
        <v>360</v>
      </c>
    </row>
    <row r="37" spans="1:10" ht="41.25" thickBot="1" x14ac:dyDescent="0.25">
      <c r="A37" s="2">
        <v>17</v>
      </c>
      <c r="B37" s="62" t="s">
        <v>46</v>
      </c>
      <c r="C37" s="3" t="s">
        <v>906</v>
      </c>
      <c r="D37" s="4">
        <v>45783</v>
      </c>
      <c r="E37" s="5">
        <v>162</v>
      </c>
      <c r="F37" s="5" t="s">
        <v>343</v>
      </c>
      <c r="G37" s="3" t="s">
        <v>413</v>
      </c>
      <c r="H37" s="3" t="s">
        <v>430</v>
      </c>
      <c r="I37" s="3" t="s">
        <v>431</v>
      </c>
      <c r="J37" s="6"/>
    </row>
    <row r="38" spans="1:10" ht="42" thickBot="1" x14ac:dyDescent="0.25">
      <c r="A38" s="2">
        <v>17</v>
      </c>
      <c r="B38" s="62" t="s">
        <v>0</v>
      </c>
      <c r="C38" s="3" t="s">
        <v>351</v>
      </c>
      <c r="D38" s="4">
        <v>45809</v>
      </c>
      <c r="E38" s="5">
        <v>193</v>
      </c>
      <c r="F38" s="5" t="s">
        <v>322</v>
      </c>
      <c r="G38" s="3" t="s">
        <v>378</v>
      </c>
      <c r="H38" s="3" t="s">
        <v>432</v>
      </c>
      <c r="I38" s="3" t="s">
        <v>433</v>
      </c>
      <c r="J38" s="6"/>
    </row>
    <row r="39" spans="1:10" ht="54" thickBot="1" x14ac:dyDescent="0.25">
      <c r="A39" s="2">
        <v>18</v>
      </c>
      <c r="B39" s="62" t="s">
        <v>279</v>
      </c>
      <c r="C39" s="3" t="s">
        <v>93</v>
      </c>
      <c r="D39" s="4">
        <v>45788</v>
      </c>
      <c r="E39" s="5">
        <v>170</v>
      </c>
      <c r="F39" s="5" t="s">
        <v>367</v>
      </c>
      <c r="G39" s="3" t="s">
        <v>368</v>
      </c>
      <c r="H39" s="3" t="s">
        <v>434</v>
      </c>
      <c r="I39" s="3" t="s">
        <v>435</v>
      </c>
      <c r="J39" s="6"/>
    </row>
    <row r="40" spans="1:10" ht="41.25" thickBot="1" x14ac:dyDescent="0.25">
      <c r="A40" s="2">
        <v>18</v>
      </c>
      <c r="B40" s="62" t="s">
        <v>2</v>
      </c>
      <c r="C40" s="3" t="s">
        <v>338</v>
      </c>
      <c r="D40" s="4">
        <v>45811</v>
      </c>
      <c r="E40" s="5">
        <v>226</v>
      </c>
      <c r="F40" s="5" t="s">
        <v>322</v>
      </c>
      <c r="G40" s="3" t="s">
        <v>378</v>
      </c>
      <c r="H40" s="3" t="s">
        <v>408</v>
      </c>
      <c r="I40" s="3" t="s">
        <v>436</v>
      </c>
      <c r="J40" s="6"/>
    </row>
    <row r="41" spans="1:10" ht="41.25" thickBot="1" x14ac:dyDescent="0.25">
      <c r="A41" s="2">
        <v>19</v>
      </c>
      <c r="B41" s="62" t="s">
        <v>45</v>
      </c>
      <c r="C41" s="3" t="s">
        <v>338</v>
      </c>
      <c r="D41" s="4">
        <v>45811</v>
      </c>
      <c r="E41" s="5">
        <v>234</v>
      </c>
      <c r="F41" s="5" t="s">
        <v>327</v>
      </c>
      <c r="G41" s="3" t="s">
        <v>403</v>
      </c>
      <c r="H41" s="3" t="s">
        <v>375</v>
      </c>
      <c r="I41" s="3" t="s">
        <v>437</v>
      </c>
      <c r="J41" s="6" t="s">
        <v>416</v>
      </c>
    </row>
    <row r="42" spans="1:10" ht="41.25" thickBot="1" x14ac:dyDescent="0.25">
      <c r="A42" s="2">
        <v>19</v>
      </c>
      <c r="B42" s="62" t="s">
        <v>280</v>
      </c>
      <c r="C42" s="3" t="s">
        <v>139</v>
      </c>
      <c r="D42" s="4">
        <v>45811</v>
      </c>
      <c r="E42" s="5">
        <v>229</v>
      </c>
      <c r="F42" s="5" t="s">
        <v>322</v>
      </c>
      <c r="G42" s="3" t="s">
        <v>323</v>
      </c>
      <c r="H42" s="3" t="s">
        <v>375</v>
      </c>
      <c r="I42" s="3" t="s">
        <v>438</v>
      </c>
      <c r="J42" s="6" t="s">
        <v>439</v>
      </c>
    </row>
    <row r="43" spans="1:10" ht="41.25" thickBot="1" x14ac:dyDescent="0.25">
      <c r="A43" s="2">
        <v>20</v>
      </c>
      <c r="B43" s="62" t="s">
        <v>25</v>
      </c>
      <c r="C43" s="3" t="s">
        <v>321</v>
      </c>
      <c r="D43" s="4">
        <v>45787</v>
      </c>
      <c r="E43" s="5">
        <v>164</v>
      </c>
      <c r="F43" s="5" t="s">
        <v>343</v>
      </c>
      <c r="G43" s="3" t="s">
        <v>413</v>
      </c>
      <c r="H43" s="3" t="s">
        <v>432</v>
      </c>
      <c r="I43" s="3" t="s">
        <v>440</v>
      </c>
      <c r="J43" s="6"/>
    </row>
    <row r="44" spans="1:10" ht="28.5" thickBot="1" x14ac:dyDescent="0.25">
      <c r="A44" s="2">
        <v>21</v>
      </c>
      <c r="B44" s="62" t="s">
        <v>14</v>
      </c>
      <c r="C44" s="3" t="s">
        <v>93</v>
      </c>
      <c r="D44" s="4">
        <v>45809</v>
      </c>
      <c r="E44" s="5">
        <v>204</v>
      </c>
      <c r="F44" s="5" t="s">
        <v>367</v>
      </c>
      <c r="G44" s="3" t="s">
        <v>368</v>
      </c>
      <c r="H44" s="3" t="s">
        <v>441</v>
      </c>
      <c r="I44" s="3" t="s">
        <v>442</v>
      </c>
      <c r="J44" s="6"/>
    </row>
    <row r="45" spans="1:10" ht="28.5" thickBot="1" x14ac:dyDescent="0.25">
      <c r="A45" s="2">
        <v>21</v>
      </c>
      <c r="B45" s="62" t="s">
        <v>281</v>
      </c>
      <c r="C45" s="3" t="s">
        <v>911</v>
      </c>
      <c r="D45" s="4">
        <v>45788</v>
      </c>
      <c r="E45" s="5">
        <v>195</v>
      </c>
      <c r="F45" s="5" t="s">
        <v>443</v>
      </c>
      <c r="G45" s="3" t="s">
        <v>378</v>
      </c>
      <c r="H45" s="3" t="s">
        <v>444</v>
      </c>
      <c r="I45" s="3" t="s">
        <v>445</v>
      </c>
      <c r="J45" s="6" t="s">
        <v>260</v>
      </c>
    </row>
    <row r="46" spans="1:10" ht="28.5" thickBot="1" x14ac:dyDescent="0.25">
      <c r="A46" s="2">
        <v>22</v>
      </c>
      <c r="B46" s="62" t="s">
        <v>6</v>
      </c>
      <c r="C46" s="3" t="s">
        <v>321</v>
      </c>
      <c r="D46" s="4">
        <v>45809</v>
      </c>
      <c r="E46" s="5">
        <v>176</v>
      </c>
      <c r="F46" s="5" t="s">
        <v>347</v>
      </c>
      <c r="G46" s="3" t="s">
        <v>403</v>
      </c>
      <c r="H46" s="3" t="s">
        <v>446</v>
      </c>
      <c r="I46" s="3" t="s">
        <v>447</v>
      </c>
      <c r="J46" s="6"/>
    </row>
    <row r="47" spans="1:10" ht="28.5" thickBot="1" x14ac:dyDescent="0.25">
      <c r="A47" s="2">
        <v>22</v>
      </c>
      <c r="B47" s="62" t="s">
        <v>282</v>
      </c>
      <c r="C47" s="3" t="s">
        <v>80</v>
      </c>
      <c r="D47" s="4">
        <v>45788</v>
      </c>
      <c r="E47" s="5">
        <v>171</v>
      </c>
      <c r="F47" s="5" t="s">
        <v>367</v>
      </c>
      <c r="G47" s="3" t="s">
        <v>368</v>
      </c>
      <c r="H47" s="3" t="s">
        <v>448</v>
      </c>
      <c r="I47" s="3" t="s">
        <v>449</v>
      </c>
      <c r="J47" s="6"/>
    </row>
    <row r="48" spans="1:10" ht="41.25" thickBot="1" x14ac:dyDescent="0.25">
      <c r="A48" s="2">
        <v>23</v>
      </c>
      <c r="B48" s="62" t="s">
        <v>283</v>
      </c>
      <c r="C48" s="3" t="s">
        <v>80</v>
      </c>
      <c r="D48" s="7">
        <v>36678</v>
      </c>
      <c r="E48" s="5">
        <v>234</v>
      </c>
      <c r="F48" s="5" t="s">
        <v>347</v>
      </c>
      <c r="G48" s="3" t="s">
        <v>353</v>
      </c>
      <c r="H48" s="3" t="s">
        <v>450</v>
      </c>
      <c r="I48" s="3" t="s">
        <v>447</v>
      </c>
      <c r="J48" s="6" t="s">
        <v>451</v>
      </c>
    </row>
    <row r="49" spans="1:10" ht="42" thickBot="1" x14ac:dyDescent="0.25">
      <c r="A49" s="2">
        <v>23</v>
      </c>
      <c r="B49" s="62" t="s">
        <v>9</v>
      </c>
      <c r="C49" s="3" t="s">
        <v>321</v>
      </c>
      <c r="D49" s="4">
        <v>45811</v>
      </c>
      <c r="E49" s="5">
        <v>196</v>
      </c>
      <c r="F49" s="5" t="s">
        <v>347</v>
      </c>
      <c r="G49" s="3" t="s">
        <v>403</v>
      </c>
      <c r="H49" s="3" t="s">
        <v>408</v>
      </c>
      <c r="I49" s="3" t="s">
        <v>452</v>
      </c>
      <c r="J49" s="6"/>
    </row>
    <row r="50" spans="1:10" ht="42" thickBot="1" x14ac:dyDescent="0.25">
      <c r="A50" s="2">
        <v>24</v>
      </c>
      <c r="B50" s="62" t="s">
        <v>11</v>
      </c>
      <c r="C50" s="3" t="s">
        <v>351</v>
      </c>
      <c r="D50" s="4">
        <v>45812</v>
      </c>
      <c r="E50" s="5">
        <v>178</v>
      </c>
      <c r="F50" s="5" t="s">
        <v>367</v>
      </c>
      <c r="G50" s="3" t="s">
        <v>368</v>
      </c>
      <c r="H50" s="3" t="s">
        <v>408</v>
      </c>
      <c r="I50" s="3" t="s">
        <v>453</v>
      </c>
      <c r="J50" s="6"/>
    </row>
    <row r="51" spans="1:10" ht="28.5" thickBot="1" x14ac:dyDescent="0.25">
      <c r="A51" s="2">
        <v>24</v>
      </c>
      <c r="B51" s="62" t="s">
        <v>578</v>
      </c>
      <c r="C51" s="3" t="s">
        <v>80</v>
      </c>
      <c r="D51" s="4">
        <v>45784</v>
      </c>
      <c r="E51" s="5">
        <v>189</v>
      </c>
      <c r="F51" s="5" t="s">
        <v>327</v>
      </c>
      <c r="G51" s="3"/>
      <c r="H51" s="3" t="s">
        <v>912</v>
      </c>
      <c r="I51" s="3" t="s">
        <v>913</v>
      </c>
      <c r="J51" s="6"/>
    </row>
    <row r="52" spans="1:10" ht="28.5" thickBot="1" x14ac:dyDescent="0.25">
      <c r="A52" s="2">
        <v>25</v>
      </c>
      <c r="B52" s="62" t="s">
        <v>454</v>
      </c>
      <c r="C52" s="3" t="s">
        <v>351</v>
      </c>
      <c r="D52" s="4">
        <v>45787</v>
      </c>
      <c r="E52" s="5">
        <v>203</v>
      </c>
      <c r="F52" s="5" t="s">
        <v>367</v>
      </c>
      <c r="G52" s="3" t="s">
        <v>368</v>
      </c>
      <c r="H52" s="3" t="s">
        <v>455</v>
      </c>
      <c r="I52" s="3" t="s">
        <v>456</v>
      </c>
      <c r="J52" s="6"/>
    </row>
    <row r="53" spans="1:10" ht="41.25" thickBot="1" x14ac:dyDescent="0.25">
      <c r="A53" s="2">
        <v>26</v>
      </c>
      <c r="B53" s="62" t="s">
        <v>893</v>
      </c>
      <c r="C53" s="3" t="s">
        <v>871</v>
      </c>
      <c r="D53" s="4">
        <v>45810</v>
      </c>
      <c r="E53" s="5">
        <v>215</v>
      </c>
      <c r="F53" s="5" t="s">
        <v>367</v>
      </c>
      <c r="G53" s="3"/>
      <c r="H53" s="3" t="s">
        <v>369</v>
      </c>
      <c r="I53" s="3" t="s">
        <v>914</v>
      </c>
      <c r="J53" s="6"/>
    </row>
    <row r="54" spans="1:10" ht="41.25" thickBot="1" x14ac:dyDescent="0.25">
      <c r="A54" s="2">
        <v>27</v>
      </c>
      <c r="B54" s="62" t="s">
        <v>285</v>
      </c>
      <c r="C54" s="3" t="s">
        <v>425</v>
      </c>
      <c r="D54" s="4">
        <v>45811</v>
      </c>
      <c r="E54" s="5">
        <v>187</v>
      </c>
      <c r="F54" s="5" t="s">
        <v>367</v>
      </c>
      <c r="G54" s="3" t="s">
        <v>368</v>
      </c>
      <c r="H54" s="3" t="s">
        <v>457</v>
      </c>
      <c r="I54" s="3" t="s">
        <v>458</v>
      </c>
      <c r="J54" s="6"/>
    </row>
    <row r="55" spans="1:10" ht="41.25" thickBot="1" x14ac:dyDescent="0.25">
      <c r="A55" s="2">
        <v>28</v>
      </c>
      <c r="B55" s="62" t="s">
        <v>459</v>
      </c>
      <c r="C55" s="3" t="s">
        <v>80</v>
      </c>
      <c r="D55" s="4">
        <v>45810</v>
      </c>
      <c r="E55" s="5">
        <v>224</v>
      </c>
      <c r="F55" s="5" t="s">
        <v>327</v>
      </c>
      <c r="G55" s="3" t="s">
        <v>323</v>
      </c>
      <c r="H55" s="3" t="s">
        <v>460</v>
      </c>
      <c r="I55" s="3" t="s">
        <v>461</v>
      </c>
      <c r="J55" s="6" t="s">
        <v>462</v>
      </c>
    </row>
    <row r="56" spans="1:10" ht="41.25" thickBot="1" x14ac:dyDescent="0.25">
      <c r="A56" s="2">
        <v>28</v>
      </c>
      <c r="B56" s="62" t="s">
        <v>463</v>
      </c>
      <c r="C56" s="3" t="s">
        <v>351</v>
      </c>
      <c r="D56" s="7">
        <v>36678</v>
      </c>
      <c r="E56" s="5">
        <v>201</v>
      </c>
      <c r="F56" s="5" t="s">
        <v>367</v>
      </c>
      <c r="G56" s="3" t="s">
        <v>368</v>
      </c>
      <c r="H56" s="3" t="s">
        <v>422</v>
      </c>
      <c r="I56" s="3" t="s">
        <v>464</v>
      </c>
      <c r="J56" s="6"/>
    </row>
    <row r="57" spans="1:10" ht="27.75" thickBot="1" x14ac:dyDescent="0.25">
      <c r="A57" s="2">
        <v>29</v>
      </c>
      <c r="B57" s="62" t="s">
        <v>24</v>
      </c>
      <c r="C57" s="3" t="s">
        <v>351</v>
      </c>
      <c r="D57" s="4">
        <v>45787</v>
      </c>
      <c r="E57" s="5">
        <v>188</v>
      </c>
      <c r="F57" s="5" t="s">
        <v>347</v>
      </c>
      <c r="G57" s="3" t="s">
        <v>403</v>
      </c>
      <c r="H57" s="3" t="s">
        <v>465</v>
      </c>
      <c r="I57" s="3" t="s">
        <v>466</v>
      </c>
      <c r="J57" s="6"/>
    </row>
    <row r="58" spans="1:10" ht="41.25" thickBot="1" x14ac:dyDescent="0.25">
      <c r="A58" s="2">
        <v>30</v>
      </c>
      <c r="B58" s="62" t="s">
        <v>28</v>
      </c>
      <c r="C58" s="3" t="s">
        <v>338</v>
      </c>
      <c r="D58" s="4">
        <v>45810</v>
      </c>
      <c r="E58" s="5">
        <v>237</v>
      </c>
      <c r="F58" s="5" t="s">
        <v>347</v>
      </c>
      <c r="G58" s="3" t="s">
        <v>353</v>
      </c>
      <c r="H58" s="3" t="s">
        <v>467</v>
      </c>
      <c r="I58" s="3" t="s">
        <v>468</v>
      </c>
      <c r="J58" s="6" t="s">
        <v>469</v>
      </c>
    </row>
    <row r="59" spans="1:10" ht="41.25" thickBot="1" x14ac:dyDescent="0.25">
      <c r="A59" s="2">
        <v>31</v>
      </c>
      <c r="B59" s="62" t="s">
        <v>287</v>
      </c>
      <c r="C59" s="3" t="s">
        <v>425</v>
      </c>
      <c r="D59" s="4">
        <v>45809</v>
      </c>
      <c r="E59" s="5">
        <v>215</v>
      </c>
      <c r="F59" s="5" t="s">
        <v>367</v>
      </c>
      <c r="G59" s="3" t="s">
        <v>368</v>
      </c>
      <c r="H59" s="3" t="s">
        <v>470</v>
      </c>
      <c r="I59" s="3" t="s">
        <v>398</v>
      </c>
      <c r="J59" s="6"/>
    </row>
    <row r="60" spans="1:10" ht="42" thickBot="1" x14ac:dyDescent="0.25">
      <c r="A60" s="2">
        <v>32</v>
      </c>
      <c r="B60" s="62" t="s">
        <v>471</v>
      </c>
      <c r="C60" s="3" t="s">
        <v>425</v>
      </c>
      <c r="D60" s="4">
        <v>45809</v>
      </c>
      <c r="E60" s="5">
        <v>228</v>
      </c>
      <c r="F60" s="5" t="s">
        <v>347</v>
      </c>
      <c r="G60" s="3" t="s">
        <v>413</v>
      </c>
      <c r="H60" s="3" t="s">
        <v>472</v>
      </c>
      <c r="I60" s="3" t="s">
        <v>473</v>
      </c>
      <c r="J60" s="6" t="s">
        <v>474</v>
      </c>
    </row>
    <row r="61" spans="1:10" ht="41.25" thickBot="1" x14ac:dyDescent="0.25">
      <c r="A61" s="2">
        <v>33</v>
      </c>
      <c r="B61" s="62" t="s">
        <v>4</v>
      </c>
      <c r="C61" s="3" t="s">
        <v>425</v>
      </c>
      <c r="D61" s="4">
        <v>45810</v>
      </c>
      <c r="E61" s="5">
        <v>221</v>
      </c>
      <c r="F61" s="5" t="s">
        <v>347</v>
      </c>
      <c r="G61" s="3" t="s">
        <v>378</v>
      </c>
      <c r="H61" s="3" t="s">
        <v>404</v>
      </c>
      <c r="I61" s="3" t="s">
        <v>475</v>
      </c>
      <c r="J61" s="6"/>
    </row>
    <row r="62" spans="1:10" ht="41.25" thickBot="1" x14ac:dyDescent="0.25">
      <c r="A62" s="2">
        <v>34</v>
      </c>
      <c r="B62" s="62" t="s">
        <v>289</v>
      </c>
      <c r="C62" s="3" t="s">
        <v>338</v>
      </c>
      <c r="D62" s="4">
        <v>45811</v>
      </c>
      <c r="E62" s="5">
        <v>220</v>
      </c>
      <c r="F62" s="5" t="s">
        <v>352</v>
      </c>
      <c r="G62" s="3" t="s">
        <v>323</v>
      </c>
      <c r="H62" s="3" t="s">
        <v>476</v>
      </c>
      <c r="I62" s="3" t="s">
        <v>477</v>
      </c>
      <c r="J62" s="6" t="s">
        <v>478</v>
      </c>
    </row>
    <row r="63" spans="1:10" ht="42" thickBot="1" x14ac:dyDescent="0.25">
      <c r="A63" s="2">
        <v>35</v>
      </c>
      <c r="B63" s="62" t="s">
        <v>3</v>
      </c>
      <c r="C63" s="3" t="s">
        <v>425</v>
      </c>
      <c r="D63" s="7">
        <v>36678</v>
      </c>
      <c r="E63" s="5">
        <v>218</v>
      </c>
      <c r="F63" s="5" t="s">
        <v>347</v>
      </c>
      <c r="G63" s="3" t="s">
        <v>403</v>
      </c>
      <c r="H63" s="3" t="s">
        <v>479</v>
      </c>
      <c r="I63" s="3" t="s">
        <v>480</v>
      </c>
      <c r="J63" s="6"/>
    </row>
    <row r="64" spans="1:10" ht="42" thickBot="1" x14ac:dyDescent="0.25">
      <c r="A64" s="2">
        <v>37</v>
      </c>
      <c r="B64" s="62" t="s">
        <v>37</v>
      </c>
      <c r="C64" s="3" t="s">
        <v>188</v>
      </c>
      <c r="D64" s="7">
        <v>36678</v>
      </c>
      <c r="E64" s="5">
        <v>186</v>
      </c>
      <c r="F64" s="5" t="s">
        <v>327</v>
      </c>
      <c r="G64" s="3" t="s">
        <v>323</v>
      </c>
      <c r="H64" s="3" t="s">
        <v>369</v>
      </c>
      <c r="I64" s="3" t="s">
        <v>481</v>
      </c>
      <c r="J64" s="6" t="s">
        <v>482</v>
      </c>
    </row>
    <row r="65" spans="1:10" ht="41.25" thickBot="1" x14ac:dyDescent="0.25">
      <c r="A65" s="2">
        <v>38</v>
      </c>
      <c r="B65" s="62" t="s">
        <v>32</v>
      </c>
      <c r="C65" s="3" t="s">
        <v>483</v>
      </c>
      <c r="D65" s="7">
        <v>36678</v>
      </c>
      <c r="E65" s="5">
        <v>262</v>
      </c>
      <c r="F65" s="5" t="s">
        <v>327</v>
      </c>
      <c r="G65" s="3" t="s">
        <v>323</v>
      </c>
      <c r="H65" s="3" t="s">
        <v>472</v>
      </c>
      <c r="I65" s="3" t="s">
        <v>484</v>
      </c>
      <c r="J65" s="6" t="s">
        <v>384</v>
      </c>
    </row>
    <row r="66" spans="1:10" ht="28.5" thickBot="1" x14ac:dyDescent="0.25">
      <c r="A66" s="2">
        <v>39</v>
      </c>
      <c r="B66" s="62" t="s">
        <v>68</v>
      </c>
      <c r="C66" s="3" t="s">
        <v>425</v>
      </c>
      <c r="D66" s="4">
        <v>45809</v>
      </c>
      <c r="E66" s="5">
        <v>231</v>
      </c>
      <c r="F66" s="5" t="s">
        <v>322</v>
      </c>
      <c r="G66" s="3" t="s">
        <v>378</v>
      </c>
      <c r="H66" s="3" t="s">
        <v>446</v>
      </c>
      <c r="I66" s="3" t="s">
        <v>447</v>
      </c>
      <c r="J66" s="6"/>
    </row>
    <row r="67" spans="1:10" ht="41.25" thickBot="1" x14ac:dyDescent="0.25">
      <c r="A67" s="2">
        <v>40</v>
      </c>
      <c r="B67" s="62" t="s">
        <v>290</v>
      </c>
      <c r="C67" s="3" t="s">
        <v>321</v>
      </c>
      <c r="D67" s="7">
        <v>36678</v>
      </c>
      <c r="E67" s="5">
        <v>185</v>
      </c>
      <c r="F67" s="5" t="s">
        <v>367</v>
      </c>
      <c r="G67" s="3" t="s">
        <v>368</v>
      </c>
      <c r="H67" s="3" t="s">
        <v>485</v>
      </c>
      <c r="I67" s="3" t="s">
        <v>486</v>
      </c>
      <c r="J67" s="6"/>
    </row>
    <row r="68" spans="1:10" ht="69" thickBot="1" x14ac:dyDescent="0.25">
      <c r="A68" s="2">
        <v>43</v>
      </c>
      <c r="B68" s="62" t="s">
        <v>915</v>
      </c>
      <c r="C68" s="3"/>
      <c r="D68" s="5" t="s">
        <v>916</v>
      </c>
      <c r="E68" s="5"/>
      <c r="F68" s="5" t="s">
        <v>917</v>
      </c>
      <c r="G68" s="3"/>
      <c r="H68" s="3"/>
      <c r="I68" s="3"/>
      <c r="J68" s="6"/>
    </row>
    <row r="69" spans="1:10" ht="28.5" thickBot="1" x14ac:dyDescent="0.25">
      <c r="A69" s="2">
        <v>44</v>
      </c>
      <c r="B69" s="62" t="s">
        <v>47</v>
      </c>
      <c r="C69" s="3" t="s">
        <v>425</v>
      </c>
      <c r="D69" s="7">
        <v>36678</v>
      </c>
      <c r="E69" s="5">
        <v>236</v>
      </c>
      <c r="F69" s="5" t="s">
        <v>347</v>
      </c>
      <c r="G69" s="3" t="s">
        <v>353</v>
      </c>
      <c r="H69" s="3" t="s">
        <v>489</v>
      </c>
      <c r="I69" s="3" t="s">
        <v>490</v>
      </c>
      <c r="J69" s="6" t="s">
        <v>491</v>
      </c>
    </row>
    <row r="70" spans="1:10" ht="28.5" thickBot="1" x14ac:dyDescent="0.25">
      <c r="A70" s="2">
        <v>45</v>
      </c>
      <c r="B70" s="62" t="s">
        <v>1</v>
      </c>
      <c r="C70" s="3" t="s">
        <v>88</v>
      </c>
      <c r="D70" s="4">
        <v>45812</v>
      </c>
      <c r="E70" s="5">
        <v>246</v>
      </c>
      <c r="F70" s="5" t="s">
        <v>327</v>
      </c>
      <c r="G70" s="3" t="s">
        <v>403</v>
      </c>
      <c r="H70" s="3" t="s">
        <v>492</v>
      </c>
      <c r="I70" s="3" t="s">
        <v>493</v>
      </c>
      <c r="J70" s="6"/>
    </row>
    <row r="71" spans="1:10" ht="42" thickBot="1" x14ac:dyDescent="0.25">
      <c r="A71" s="2">
        <v>46</v>
      </c>
      <c r="B71" s="62" t="s">
        <v>42</v>
      </c>
      <c r="C71" s="3" t="s">
        <v>262</v>
      </c>
      <c r="D71" s="4">
        <v>45788</v>
      </c>
      <c r="E71" s="5">
        <v>186</v>
      </c>
      <c r="F71" s="5" t="s">
        <v>327</v>
      </c>
      <c r="G71" s="3" t="s">
        <v>378</v>
      </c>
      <c r="H71" s="3" t="s">
        <v>472</v>
      </c>
      <c r="I71" s="3" t="s">
        <v>517</v>
      </c>
      <c r="J71" s="6" t="s">
        <v>518</v>
      </c>
    </row>
    <row r="72" spans="1:10" ht="28.5" thickBot="1" x14ac:dyDescent="0.25">
      <c r="A72" s="2">
        <v>47</v>
      </c>
      <c r="B72" s="62" t="s">
        <v>36</v>
      </c>
      <c r="C72" s="3" t="s">
        <v>188</v>
      </c>
      <c r="D72" s="7">
        <v>36678</v>
      </c>
      <c r="E72" s="5">
        <v>215</v>
      </c>
      <c r="F72" s="5" t="s">
        <v>352</v>
      </c>
      <c r="G72" s="3" t="s">
        <v>378</v>
      </c>
      <c r="H72" s="3" t="s">
        <v>494</v>
      </c>
      <c r="I72" s="3" t="s">
        <v>495</v>
      </c>
      <c r="J72" s="6" t="s">
        <v>496</v>
      </c>
    </row>
    <row r="73" spans="1:10" ht="27.75" thickBot="1" x14ac:dyDescent="0.25">
      <c r="A73" s="2">
        <v>48</v>
      </c>
      <c r="B73" s="62" t="s">
        <v>69</v>
      </c>
      <c r="C73" s="3" t="s">
        <v>351</v>
      </c>
      <c r="D73" s="4">
        <v>45788</v>
      </c>
      <c r="E73" s="5">
        <v>191</v>
      </c>
      <c r="F73" s="5" t="s">
        <v>367</v>
      </c>
      <c r="G73" s="3" t="s">
        <v>368</v>
      </c>
      <c r="H73" s="3" t="s">
        <v>497</v>
      </c>
      <c r="I73" s="3" t="s">
        <v>498</v>
      </c>
      <c r="J73" s="6"/>
    </row>
    <row r="74" spans="1:10" ht="41.25" thickBot="1" x14ac:dyDescent="0.25">
      <c r="A74" s="2">
        <v>49</v>
      </c>
      <c r="B74" s="62" t="s">
        <v>39</v>
      </c>
      <c r="C74" s="3" t="s">
        <v>202</v>
      </c>
      <c r="D74" s="4">
        <v>45788</v>
      </c>
      <c r="E74" s="5">
        <v>181</v>
      </c>
      <c r="F74" s="5" t="s">
        <v>322</v>
      </c>
      <c r="G74" s="3" t="s">
        <v>323</v>
      </c>
      <c r="H74" s="3" t="s">
        <v>404</v>
      </c>
      <c r="I74" s="3" t="s">
        <v>405</v>
      </c>
      <c r="J74" s="6" t="s">
        <v>499</v>
      </c>
    </row>
    <row r="75" spans="1:10" ht="41.25" thickBot="1" x14ac:dyDescent="0.25">
      <c r="A75" s="2">
        <v>51</v>
      </c>
      <c r="B75" s="62" t="s">
        <v>291</v>
      </c>
      <c r="C75" s="3" t="s">
        <v>205</v>
      </c>
      <c r="D75" s="4">
        <v>45811</v>
      </c>
      <c r="E75" s="5">
        <v>279</v>
      </c>
      <c r="F75" s="5" t="s">
        <v>347</v>
      </c>
      <c r="G75" s="3" t="s">
        <v>378</v>
      </c>
      <c r="H75" s="3" t="s">
        <v>500</v>
      </c>
      <c r="I75" s="3" t="s">
        <v>501</v>
      </c>
      <c r="J75" s="6" t="s">
        <v>393</v>
      </c>
    </row>
    <row r="76" spans="1:10" ht="41.25" thickBot="1" x14ac:dyDescent="0.25">
      <c r="A76" s="2">
        <v>52</v>
      </c>
      <c r="B76" s="62" t="s">
        <v>66</v>
      </c>
      <c r="C76" s="3" t="s">
        <v>205</v>
      </c>
      <c r="D76" s="4">
        <v>45812</v>
      </c>
      <c r="E76" s="5">
        <v>295</v>
      </c>
      <c r="F76" s="5" t="s">
        <v>327</v>
      </c>
      <c r="G76" s="3" t="s">
        <v>323</v>
      </c>
      <c r="H76" s="3" t="s">
        <v>408</v>
      </c>
      <c r="I76" s="3" t="s">
        <v>417</v>
      </c>
      <c r="J76" s="6" t="s">
        <v>439</v>
      </c>
    </row>
    <row r="77" spans="1:10" ht="41.25" thickBot="1" x14ac:dyDescent="0.25">
      <c r="A77" s="2">
        <v>53</v>
      </c>
      <c r="B77" s="62" t="s">
        <v>51</v>
      </c>
      <c r="C77" s="3" t="s">
        <v>205</v>
      </c>
      <c r="D77" s="4">
        <v>45809</v>
      </c>
      <c r="E77" s="5">
        <v>304</v>
      </c>
      <c r="F77" s="5" t="s">
        <v>327</v>
      </c>
      <c r="G77" s="3" t="s">
        <v>378</v>
      </c>
      <c r="H77" s="3" t="s">
        <v>502</v>
      </c>
      <c r="I77" s="3" t="s">
        <v>503</v>
      </c>
      <c r="J77" s="6" t="s">
        <v>504</v>
      </c>
    </row>
    <row r="78" spans="1:10" ht="28.5" thickBot="1" x14ac:dyDescent="0.25">
      <c r="A78" s="2">
        <v>55</v>
      </c>
      <c r="B78" s="62" t="s">
        <v>60</v>
      </c>
      <c r="C78" s="3" t="s">
        <v>88</v>
      </c>
      <c r="D78" s="4">
        <v>45812</v>
      </c>
      <c r="E78" s="5">
        <v>286</v>
      </c>
      <c r="F78" s="5" t="s">
        <v>347</v>
      </c>
      <c r="G78" s="3" t="s">
        <v>323</v>
      </c>
      <c r="H78" s="3" t="s">
        <v>505</v>
      </c>
      <c r="I78" s="3" t="s">
        <v>506</v>
      </c>
      <c r="J78" s="6" t="s">
        <v>507</v>
      </c>
    </row>
    <row r="79" spans="1:10" ht="42" thickBot="1" x14ac:dyDescent="0.25">
      <c r="A79" s="2">
        <v>56</v>
      </c>
      <c r="B79" s="62" t="s">
        <v>292</v>
      </c>
      <c r="C79" s="3" t="s">
        <v>88</v>
      </c>
      <c r="D79" s="4">
        <v>45811</v>
      </c>
      <c r="E79" s="5">
        <v>245</v>
      </c>
      <c r="F79" s="5" t="s">
        <v>352</v>
      </c>
      <c r="G79" s="3" t="s">
        <v>323</v>
      </c>
      <c r="H79" s="3" t="s">
        <v>508</v>
      </c>
      <c r="I79" s="3" t="s">
        <v>509</v>
      </c>
      <c r="J79" s="6" t="s">
        <v>510</v>
      </c>
    </row>
    <row r="80" spans="1:10" ht="42" thickBot="1" x14ac:dyDescent="0.25">
      <c r="A80" s="2">
        <v>58</v>
      </c>
      <c r="B80" s="62" t="s">
        <v>65</v>
      </c>
      <c r="C80" s="3" t="s">
        <v>88</v>
      </c>
      <c r="D80" s="4">
        <v>45810</v>
      </c>
      <c r="E80" s="5">
        <v>282</v>
      </c>
      <c r="F80" s="5" t="s">
        <v>322</v>
      </c>
      <c r="G80" s="3" t="s">
        <v>378</v>
      </c>
      <c r="H80" s="3" t="s">
        <v>472</v>
      </c>
      <c r="I80" s="3" t="s">
        <v>511</v>
      </c>
      <c r="J80" s="6"/>
    </row>
    <row r="81" spans="1:10" ht="28.5" thickBot="1" x14ac:dyDescent="0.25">
      <c r="A81" s="2">
        <v>59</v>
      </c>
      <c r="B81" s="62" t="s">
        <v>59</v>
      </c>
      <c r="C81" s="3" t="s">
        <v>88</v>
      </c>
      <c r="D81" s="4">
        <v>45810</v>
      </c>
      <c r="E81" s="5">
        <v>318</v>
      </c>
      <c r="F81" s="5" t="s">
        <v>322</v>
      </c>
      <c r="G81" s="3" t="s">
        <v>353</v>
      </c>
      <c r="H81" s="3" t="s">
        <v>414</v>
      </c>
      <c r="I81" s="3" t="s">
        <v>512</v>
      </c>
      <c r="J81" s="6" t="s">
        <v>416</v>
      </c>
    </row>
    <row r="82" spans="1:10" ht="41.25" thickBot="1" x14ac:dyDescent="0.25">
      <c r="A82" s="2">
        <v>62</v>
      </c>
      <c r="B82" s="62" t="s">
        <v>53</v>
      </c>
      <c r="C82" s="3" t="s">
        <v>205</v>
      </c>
      <c r="D82" s="4">
        <v>45811</v>
      </c>
      <c r="E82" s="5">
        <v>321</v>
      </c>
      <c r="F82" s="5" t="s">
        <v>327</v>
      </c>
      <c r="G82" s="3" t="s">
        <v>513</v>
      </c>
      <c r="H82" s="3" t="s">
        <v>514</v>
      </c>
      <c r="I82" s="3" t="s">
        <v>515</v>
      </c>
      <c r="J82" s="6"/>
    </row>
    <row r="83" spans="1:10" ht="41.25" thickBot="1" x14ac:dyDescent="0.25">
      <c r="A83" s="2">
        <v>63</v>
      </c>
      <c r="B83" s="62" t="s">
        <v>293</v>
      </c>
      <c r="C83" s="3" t="s">
        <v>205</v>
      </c>
      <c r="D83" s="4">
        <v>45814</v>
      </c>
      <c r="E83" s="5">
        <v>280</v>
      </c>
      <c r="F83" s="5" t="s">
        <v>367</v>
      </c>
      <c r="G83" s="3" t="s">
        <v>368</v>
      </c>
      <c r="H83" s="3" t="s">
        <v>404</v>
      </c>
      <c r="I83" s="3" t="s">
        <v>516</v>
      </c>
      <c r="J83" s="6"/>
    </row>
    <row r="84" spans="1:10" ht="41.25" thickBot="1" x14ac:dyDescent="0.25">
      <c r="A84" s="2">
        <v>64</v>
      </c>
      <c r="B84" s="62" t="s">
        <v>49</v>
      </c>
      <c r="C84" s="3" t="s">
        <v>205</v>
      </c>
      <c r="D84" s="4">
        <v>45812</v>
      </c>
      <c r="E84" s="5">
        <v>307</v>
      </c>
      <c r="F84" s="5" t="s">
        <v>347</v>
      </c>
      <c r="G84" s="3" t="s">
        <v>403</v>
      </c>
      <c r="H84" s="3" t="s">
        <v>519</v>
      </c>
      <c r="I84" s="3" t="s">
        <v>520</v>
      </c>
      <c r="J84" s="6"/>
    </row>
    <row r="85" spans="1:10" ht="41.25" thickBot="1" x14ac:dyDescent="0.25">
      <c r="A85" s="2">
        <v>65</v>
      </c>
      <c r="B85" s="62" t="s">
        <v>63</v>
      </c>
      <c r="C85" s="3" t="s">
        <v>205</v>
      </c>
      <c r="D85" s="4">
        <v>45812</v>
      </c>
      <c r="E85" s="5">
        <v>294</v>
      </c>
      <c r="F85" s="5" t="s">
        <v>322</v>
      </c>
      <c r="G85" s="3" t="s">
        <v>378</v>
      </c>
      <c r="H85" s="3" t="s">
        <v>404</v>
      </c>
      <c r="I85" s="3" t="s">
        <v>405</v>
      </c>
      <c r="J85" s="6"/>
    </row>
    <row r="86" spans="1:10" ht="41.25" thickBot="1" x14ac:dyDescent="0.25">
      <c r="A86" s="2">
        <v>66</v>
      </c>
      <c r="B86" s="62" t="s">
        <v>50</v>
      </c>
      <c r="C86" s="3" t="s">
        <v>205</v>
      </c>
      <c r="D86" s="4">
        <v>45812</v>
      </c>
      <c r="E86" s="5">
        <v>300</v>
      </c>
      <c r="F86" s="5" t="s">
        <v>343</v>
      </c>
      <c r="G86" s="3" t="s">
        <v>413</v>
      </c>
      <c r="H86" s="3" t="s">
        <v>519</v>
      </c>
      <c r="I86" s="3" t="s">
        <v>521</v>
      </c>
      <c r="J86" s="6"/>
    </row>
    <row r="87" spans="1:10" ht="28.5" thickBot="1" x14ac:dyDescent="0.25">
      <c r="A87" s="2">
        <v>67</v>
      </c>
      <c r="B87" s="62" t="s">
        <v>58</v>
      </c>
      <c r="C87" s="3" t="s">
        <v>205</v>
      </c>
      <c r="D87" s="4">
        <v>45810</v>
      </c>
      <c r="E87" s="5">
        <v>271</v>
      </c>
      <c r="F87" s="5" t="s">
        <v>343</v>
      </c>
      <c r="G87" s="3" t="s">
        <v>413</v>
      </c>
      <c r="H87" s="3" t="s">
        <v>522</v>
      </c>
      <c r="I87" s="3" t="s">
        <v>523</v>
      </c>
      <c r="J87" s="6"/>
    </row>
    <row r="88" spans="1:10" ht="41.25" thickBot="1" x14ac:dyDescent="0.25">
      <c r="A88" s="2">
        <v>68</v>
      </c>
      <c r="B88" s="62" t="s">
        <v>57</v>
      </c>
      <c r="C88" s="3" t="s">
        <v>205</v>
      </c>
      <c r="D88" s="4">
        <v>45812</v>
      </c>
      <c r="E88" s="5">
        <v>339</v>
      </c>
      <c r="F88" s="5" t="s">
        <v>322</v>
      </c>
      <c r="G88" s="3" t="s">
        <v>378</v>
      </c>
      <c r="H88" s="3" t="s">
        <v>404</v>
      </c>
      <c r="I88" s="3" t="s">
        <v>524</v>
      </c>
      <c r="J88" s="6"/>
    </row>
    <row r="89" spans="1:10" ht="28.5" thickBot="1" x14ac:dyDescent="0.25">
      <c r="A89" s="2">
        <v>70</v>
      </c>
      <c r="B89" s="62" t="s">
        <v>294</v>
      </c>
      <c r="C89" s="3" t="s">
        <v>205</v>
      </c>
      <c r="D89" s="4">
        <v>45814</v>
      </c>
      <c r="E89" s="5">
        <v>329</v>
      </c>
      <c r="F89" s="5" t="s">
        <v>367</v>
      </c>
      <c r="G89" s="3" t="s">
        <v>368</v>
      </c>
      <c r="H89" s="3" t="s">
        <v>525</v>
      </c>
      <c r="I89" s="3" t="s">
        <v>526</v>
      </c>
      <c r="J89" s="6"/>
    </row>
    <row r="90" spans="1:10" ht="54" thickBot="1" x14ac:dyDescent="0.25">
      <c r="A90" s="2">
        <v>71</v>
      </c>
      <c r="B90" s="62" t="s">
        <v>54</v>
      </c>
      <c r="C90" s="3" t="s">
        <v>205</v>
      </c>
      <c r="D90" s="4">
        <v>45813</v>
      </c>
      <c r="E90" s="5">
        <v>312</v>
      </c>
      <c r="F90" s="5" t="s">
        <v>347</v>
      </c>
      <c r="G90" s="3" t="s">
        <v>378</v>
      </c>
      <c r="H90" s="3" t="s">
        <v>527</v>
      </c>
      <c r="I90" s="3" t="s">
        <v>528</v>
      </c>
      <c r="J90" s="6" t="s">
        <v>529</v>
      </c>
    </row>
    <row r="91" spans="1:10" ht="54" thickBot="1" x14ac:dyDescent="0.25">
      <c r="A91" s="2">
        <v>72</v>
      </c>
      <c r="B91" s="62" t="s">
        <v>56</v>
      </c>
      <c r="C91" s="3" t="s">
        <v>205</v>
      </c>
      <c r="D91" s="4">
        <v>45814</v>
      </c>
      <c r="E91" s="5">
        <v>295</v>
      </c>
      <c r="F91" s="5" t="s">
        <v>327</v>
      </c>
      <c r="G91" s="3" t="s">
        <v>513</v>
      </c>
      <c r="H91" s="3" t="s">
        <v>408</v>
      </c>
      <c r="I91" s="3" t="s">
        <v>530</v>
      </c>
      <c r="J91" s="6"/>
    </row>
    <row r="92" spans="1:10" ht="41.25" thickBot="1" x14ac:dyDescent="0.25">
      <c r="A92" s="2">
        <v>73</v>
      </c>
      <c r="B92" s="62" t="s">
        <v>64</v>
      </c>
      <c r="C92" s="3" t="s">
        <v>205</v>
      </c>
      <c r="D92" s="4">
        <v>45811</v>
      </c>
      <c r="E92" s="5">
        <v>312</v>
      </c>
      <c r="F92" s="5" t="s">
        <v>343</v>
      </c>
      <c r="G92" s="3" t="s">
        <v>378</v>
      </c>
      <c r="H92" s="3" t="s">
        <v>531</v>
      </c>
      <c r="I92" s="3" t="s">
        <v>532</v>
      </c>
      <c r="J92" s="6"/>
    </row>
    <row r="93" spans="1:10" ht="41.25" thickBot="1" x14ac:dyDescent="0.25">
      <c r="A93" s="2">
        <v>74</v>
      </c>
      <c r="B93" s="62" t="s">
        <v>55</v>
      </c>
      <c r="C93" s="3" t="s">
        <v>205</v>
      </c>
      <c r="D93" s="4">
        <v>45813</v>
      </c>
      <c r="E93" s="5">
        <v>300</v>
      </c>
      <c r="F93" s="5" t="s">
        <v>327</v>
      </c>
      <c r="G93" s="3" t="s">
        <v>513</v>
      </c>
      <c r="H93" s="3" t="s">
        <v>404</v>
      </c>
      <c r="I93" s="3" t="s">
        <v>524</v>
      </c>
      <c r="J93" s="6"/>
    </row>
    <row r="94" spans="1:10" ht="42" thickBot="1" x14ac:dyDescent="0.25">
      <c r="A94" s="2">
        <v>75</v>
      </c>
      <c r="B94" s="62" t="s">
        <v>295</v>
      </c>
      <c r="C94" s="3" t="s">
        <v>205</v>
      </c>
      <c r="D94" s="4">
        <v>45812</v>
      </c>
      <c r="E94" s="5">
        <v>310</v>
      </c>
      <c r="F94" s="5" t="s">
        <v>347</v>
      </c>
      <c r="G94" s="3" t="s">
        <v>353</v>
      </c>
      <c r="H94" s="3" t="s">
        <v>369</v>
      </c>
      <c r="I94" s="3" t="s">
        <v>533</v>
      </c>
      <c r="J94" s="6" t="s">
        <v>534</v>
      </c>
    </row>
    <row r="95" spans="1:10" ht="42" thickBot="1" x14ac:dyDescent="0.25">
      <c r="A95" s="2">
        <v>77</v>
      </c>
      <c r="B95" s="62" t="s">
        <v>296</v>
      </c>
      <c r="C95" s="3" t="s">
        <v>205</v>
      </c>
      <c r="D95" s="4">
        <v>45814</v>
      </c>
      <c r="E95" s="5">
        <v>315</v>
      </c>
      <c r="F95" s="5" t="s">
        <v>367</v>
      </c>
      <c r="G95" s="3" t="s">
        <v>368</v>
      </c>
      <c r="H95" s="3" t="s">
        <v>535</v>
      </c>
      <c r="I95" s="3" t="s">
        <v>536</v>
      </c>
      <c r="J95" s="6"/>
    </row>
    <row r="96" spans="1:10" ht="54" thickBot="1" x14ac:dyDescent="0.25">
      <c r="A96" s="2">
        <v>78</v>
      </c>
      <c r="B96" s="62" t="s">
        <v>52</v>
      </c>
      <c r="C96" s="3" t="s">
        <v>205</v>
      </c>
      <c r="D96" s="4">
        <v>45814</v>
      </c>
      <c r="E96" s="5">
        <v>287</v>
      </c>
      <c r="F96" s="5" t="s">
        <v>322</v>
      </c>
      <c r="G96" s="3" t="s">
        <v>378</v>
      </c>
      <c r="H96" s="3" t="s">
        <v>505</v>
      </c>
      <c r="I96" s="3" t="s">
        <v>537</v>
      </c>
      <c r="J96" s="6"/>
    </row>
    <row r="97" spans="1:10" ht="28.5" thickBot="1" x14ac:dyDescent="0.25">
      <c r="A97" s="2">
        <v>79</v>
      </c>
      <c r="B97" s="62" t="s">
        <v>297</v>
      </c>
      <c r="C97" s="3" t="s">
        <v>205</v>
      </c>
      <c r="D97" s="4">
        <v>45816</v>
      </c>
      <c r="E97" s="5">
        <v>346</v>
      </c>
      <c r="F97" s="5" t="s">
        <v>538</v>
      </c>
      <c r="G97" s="3" t="s">
        <v>323</v>
      </c>
      <c r="H97" s="3" t="s">
        <v>539</v>
      </c>
      <c r="I97" s="3" t="s">
        <v>540</v>
      </c>
      <c r="J97" s="6" t="s">
        <v>541</v>
      </c>
    </row>
    <row r="98" spans="1:10" ht="41.25" thickBot="1" x14ac:dyDescent="0.25">
      <c r="A98" s="2">
        <v>80</v>
      </c>
      <c r="B98" s="62" t="s">
        <v>13</v>
      </c>
      <c r="C98" s="3" t="s">
        <v>93</v>
      </c>
      <c r="D98" s="4">
        <v>45787</v>
      </c>
      <c r="E98" s="5">
        <v>193</v>
      </c>
      <c r="F98" s="5" t="s">
        <v>367</v>
      </c>
      <c r="G98" s="3" t="s">
        <v>368</v>
      </c>
      <c r="H98" s="3" t="s">
        <v>422</v>
      </c>
      <c r="I98" s="3" t="s">
        <v>464</v>
      </c>
      <c r="J98" s="6"/>
    </row>
    <row r="99" spans="1:10" ht="42" thickBot="1" x14ac:dyDescent="0.25">
      <c r="A99" s="2">
        <v>81</v>
      </c>
      <c r="B99" s="62" t="s">
        <v>298</v>
      </c>
      <c r="C99" s="3" t="s">
        <v>93</v>
      </c>
      <c r="D99" s="7">
        <v>36678</v>
      </c>
      <c r="E99" s="5">
        <v>172</v>
      </c>
      <c r="F99" s="5" t="s">
        <v>367</v>
      </c>
      <c r="G99" s="3" t="s">
        <v>368</v>
      </c>
      <c r="H99" s="3" t="s">
        <v>542</v>
      </c>
      <c r="I99" s="3" t="s">
        <v>543</v>
      </c>
      <c r="J99" s="6"/>
    </row>
    <row r="100" spans="1:10" ht="28.5" thickBot="1" x14ac:dyDescent="0.25">
      <c r="A100" s="2">
        <v>83</v>
      </c>
      <c r="B100" s="62" t="s">
        <v>19</v>
      </c>
      <c r="C100" s="3" t="s">
        <v>93</v>
      </c>
      <c r="D100" s="4">
        <v>45784</v>
      </c>
      <c r="E100" s="5">
        <v>169</v>
      </c>
      <c r="F100" s="5" t="s">
        <v>367</v>
      </c>
      <c r="G100" s="3" t="s">
        <v>368</v>
      </c>
      <c r="H100" s="3" t="s">
        <v>544</v>
      </c>
      <c r="I100" s="3" t="s">
        <v>545</v>
      </c>
      <c r="J100" s="6"/>
    </row>
    <row r="101" spans="1:10" ht="41.25" thickBot="1" x14ac:dyDescent="0.25">
      <c r="A101" s="2">
        <v>84</v>
      </c>
      <c r="B101" s="62" t="s">
        <v>299</v>
      </c>
      <c r="C101" s="3" t="s">
        <v>93</v>
      </c>
      <c r="D101" s="4">
        <v>45813</v>
      </c>
      <c r="E101" s="5">
        <v>213</v>
      </c>
      <c r="F101" s="5" t="s">
        <v>347</v>
      </c>
      <c r="G101" s="3" t="s">
        <v>353</v>
      </c>
      <c r="H101" s="3" t="s">
        <v>546</v>
      </c>
      <c r="I101" s="3" t="s">
        <v>547</v>
      </c>
      <c r="J101" s="6" t="s">
        <v>548</v>
      </c>
    </row>
    <row r="102" spans="1:10" ht="41.25" thickBot="1" x14ac:dyDescent="0.25">
      <c r="A102" s="2">
        <v>85</v>
      </c>
      <c r="B102" s="62" t="s">
        <v>35</v>
      </c>
      <c r="C102" s="3" t="s">
        <v>139</v>
      </c>
      <c r="D102" s="4">
        <v>45811</v>
      </c>
      <c r="E102" s="5">
        <v>209</v>
      </c>
      <c r="F102" s="5" t="s">
        <v>367</v>
      </c>
      <c r="G102" s="3" t="s">
        <v>368</v>
      </c>
      <c r="H102" s="3" t="s">
        <v>549</v>
      </c>
      <c r="I102" s="3" t="s">
        <v>550</v>
      </c>
      <c r="J102" s="6"/>
    </row>
    <row r="103" spans="1:10" ht="54" thickBot="1" x14ac:dyDescent="0.25">
      <c r="A103" s="2">
        <v>86</v>
      </c>
      <c r="B103" s="62" t="s">
        <v>70</v>
      </c>
      <c r="C103" s="3" t="s">
        <v>139</v>
      </c>
      <c r="D103" s="4">
        <v>45815</v>
      </c>
      <c r="E103" s="5">
        <v>260</v>
      </c>
      <c r="F103" s="5" t="s">
        <v>347</v>
      </c>
      <c r="G103" s="3" t="s">
        <v>323</v>
      </c>
      <c r="H103" s="3" t="s">
        <v>369</v>
      </c>
      <c r="I103" s="3" t="s">
        <v>551</v>
      </c>
      <c r="J103" s="6" t="s">
        <v>384</v>
      </c>
    </row>
    <row r="104" spans="1:10" ht="28.5" thickBot="1" x14ac:dyDescent="0.25">
      <c r="A104" s="2">
        <v>87</v>
      </c>
      <c r="B104" s="62" t="s">
        <v>300</v>
      </c>
      <c r="C104" s="3" t="s">
        <v>139</v>
      </c>
      <c r="D104" s="4">
        <v>45812</v>
      </c>
      <c r="E104" s="5">
        <v>232</v>
      </c>
      <c r="F104" s="5" t="s">
        <v>347</v>
      </c>
      <c r="G104" s="3" t="s">
        <v>413</v>
      </c>
      <c r="H104" s="3" t="s">
        <v>552</v>
      </c>
      <c r="I104" s="3" t="s">
        <v>553</v>
      </c>
      <c r="J104" s="6" t="s">
        <v>416</v>
      </c>
    </row>
    <row r="105" spans="1:10" ht="28.5" thickBot="1" x14ac:dyDescent="0.25">
      <c r="A105" s="2">
        <v>88</v>
      </c>
      <c r="B105" s="62" t="s">
        <v>301</v>
      </c>
      <c r="C105" s="3" t="s">
        <v>139</v>
      </c>
      <c r="D105" s="4">
        <v>45814</v>
      </c>
      <c r="E105" s="5">
        <v>269</v>
      </c>
      <c r="F105" s="5" t="s">
        <v>367</v>
      </c>
      <c r="G105" s="3" t="s">
        <v>368</v>
      </c>
      <c r="H105" s="3" t="s">
        <v>554</v>
      </c>
      <c r="I105" s="3" t="s">
        <v>555</v>
      </c>
      <c r="J105" s="6"/>
    </row>
    <row r="106" spans="1:10" ht="41.25" thickBot="1" x14ac:dyDescent="0.25">
      <c r="A106" s="2">
        <v>90</v>
      </c>
      <c r="B106" s="62" t="s">
        <v>302</v>
      </c>
      <c r="C106" s="3" t="s">
        <v>88</v>
      </c>
      <c r="D106" s="4">
        <v>45813</v>
      </c>
      <c r="E106" s="5">
        <v>342</v>
      </c>
      <c r="F106" s="5" t="s">
        <v>347</v>
      </c>
      <c r="G106" s="3" t="s">
        <v>323</v>
      </c>
      <c r="H106" s="3" t="s">
        <v>361</v>
      </c>
      <c r="I106" s="3" t="s">
        <v>557</v>
      </c>
      <c r="J106" s="6" t="s">
        <v>558</v>
      </c>
    </row>
    <row r="107" spans="1:10" ht="41.25" thickBot="1" x14ac:dyDescent="0.25">
      <c r="A107" s="2">
        <v>91</v>
      </c>
      <c r="B107" s="62" t="s">
        <v>303</v>
      </c>
      <c r="C107" s="3" t="s">
        <v>88</v>
      </c>
      <c r="D107" s="4">
        <v>45811</v>
      </c>
      <c r="E107" s="5">
        <v>318</v>
      </c>
      <c r="F107" s="5" t="s">
        <v>327</v>
      </c>
      <c r="G107" s="3" t="s">
        <v>323</v>
      </c>
      <c r="H107" s="3" t="s">
        <v>559</v>
      </c>
      <c r="I107" s="3" t="s">
        <v>560</v>
      </c>
      <c r="J107" s="6" t="s">
        <v>561</v>
      </c>
    </row>
    <row r="108" spans="1:10" ht="54" thickBot="1" x14ac:dyDescent="0.25">
      <c r="A108" s="2">
        <v>91</v>
      </c>
      <c r="B108" s="62" t="s">
        <v>40</v>
      </c>
      <c r="C108" s="3" t="s">
        <v>262</v>
      </c>
      <c r="D108" s="4">
        <v>45810</v>
      </c>
      <c r="E108" s="5">
        <v>197</v>
      </c>
      <c r="F108" s="5" t="s">
        <v>327</v>
      </c>
      <c r="G108" s="3" t="s">
        <v>513</v>
      </c>
      <c r="H108" s="3" t="s">
        <v>562</v>
      </c>
      <c r="I108" s="3" t="s">
        <v>563</v>
      </c>
      <c r="J108" s="6"/>
    </row>
    <row r="109" spans="1:10" ht="28.5" thickBot="1" x14ac:dyDescent="0.25">
      <c r="A109" s="2">
        <v>92</v>
      </c>
      <c r="B109" s="62" t="s">
        <v>61</v>
      </c>
      <c r="C109" s="3" t="s">
        <v>88</v>
      </c>
      <c r="D109" s="4">
        <v>45810</v>
      </c>
      <c r="E109" s="5">
        <v>308</v>
      </c>
      <c r="F109" s="5" t="s">
        <v>327</v>
      </c>
      <c r="G109" s="3" t="s">
        <v>353</v>
      </c>
      <c r="H109" s="3" t="s">
        <v>564</v>
      </c>
      <c r="I109" s="3" t="s">
        <v>565</v>
      </c>
      <c r="J109" s="6" t="s">
        <v>566</v>
      </c>
    </row>
    <row r="110" spans="1:10" ht="41.25" thickBot="1" x14ac:dyDescent="0.25">
      <c r="A110" s="2">
        <v>93</v>
      </c>
      <c r="B110" s="62" t="s">
        <v>304</v>
      </c>
      <c r="C110" s="3" t="s">
        <v>88</v>
      </c>
      <c r="D110" s="7">
        <v>36678</v>
      </c>
      <c r="E110" s="5">
        <v>330</v>
      </c>
      <c r="F110" s="5" t="s">
        <v>367</v>
      </c>
      <c r="G110" s="3" t="s">
        <v>368</v>
      </c>
      <c r="H110" s="3" t="s">
        <v>369</v>
      </c>
      <c r="I110" s="3" t="s">
        <v>567</v>
      </c>
      <c r="J110" s="6"/>
    </row>
    <row r="111" spans="1:10" ht="41.25" thickBot="1" x14ac:dyDescent="0.25">
      <c r="A111" s="2">
        <v>94</v>
      </c>
      <c r="B111" s="62" t="s">
        <v>305</v>
      </c>
      <c r="C111" s="3" t="s">
        <v>338</v>
      </c>
      <c r="D111" s="4">
        <v>45812</v>
      </c>
      <c r="E111" s="5">
        <v>235</v>
      </c>
      <c r="F111" s="5" t="s">
        <v>367</v>
      </c>
      <c r="G111" s="3" t="s">
        <v>368</v>
      </c>
      <c r="H111" s="3" t="s">
        <v>500</v>
      </c>
      <c r="I111" s="3" t="s">
        <v>568</v>
      </c>
      <c r="J111" s="6"/>
    </row>
    <row r="112" spans="1:10" ht="28.5" thickBot="1" x14ac:dyDescent="0.25">
      <c r="A112" s="2">
        <v>97</v>
      </c>
      <c r="B112" s="62" t="s">
        <v>306</v>
      </c>
      <c r="C112" s="3" t="s">
        <v>351</v>
      </c>
      <c r="D112" s="4">
        <v>45809</v>
      </c>
      <c r="E112" s="5">
        <v>165</v>
      </c>
      <c r="F112" s="5" t="s">
        <v>367</v>
      </c>
      <c r="G112" s="3" t="s">
        <v>368</v>
      </c>
      <c r="H112" s="3" t="s">
        <v>918</v>
      </c>
      <c r="I112" s="3" t="s">
        <v>919</v>
      </c>
      <c r="J112" s="6"/>
    </row>
    <row r="113" spans="1:10" ht="41.25" thickBot="1" x14ac:dyDescent="0.25">
      <c r="A113" s="2">
        <v>98</v>
      </c>
      <c r="B113" s="62" t="s">
        <v>569</v>
      </c>
      <c r="C113" s="3" t="s">
        <v>88</v>
      </c>
      <c r="D113" s="4">
        <v>45810</v>
      </c>
      <c r="E113" s="5">
        <v>294</v>
      </c>
      <c r="F113" s="5" t="s">
        <v>327</v>
      </c>
      <c r="G113" s="3" t="s">
        <v>323</v>
      </c>
      <c r="H113" s="3" t="s">
        <v>570</v>
      </c>
      <c r="I113" s="3" t="s">
        <v>571</v>
      </c>
      <c r="J113" s="6" t="s">
        <v>390</v>
      </c>
    </row>
    <row r="114" spans="1:10" ht="42" thickBot="1" x14ac:dyDescent="0.25">
      <c r="A114" s="2">
        <v>99</v>
      </c>
      <c r="B114" s="62" t="s">
        <v>43</v>
      </c>
      <c r="C114" s="3" t="s">
        <v>202</v>
      </c>
      <c r="D114" s="4">
        <v>45810</v>
      </c>
      <c r="E114" s="5">
        <v>184</v>
      </c>
      <c r="F114" s="5" t="s">
        <v>347</v>
      </c>
      <c r="G114" s="3" t="s">
        <v>323</v>
      </c>
      <c r="H114" s="3" t="s">
        <v>418</v>
      </c>
      <c r="I114" s="3" t="s">
        <v>572</v>
      </c>
      <c r="J114" s="6" t="s">
        <v>573</v>
      </c>
    </row>
  </sheetData>
  <mergeCells count="1">
    <mergeCell ref="A1:J1"/>
  </mergeCells>
  <hyperlinks>
    <hyperlink ref="B3" r:id="rId1" display="https://hornetsports.com/sports/football/roster/ricky-lee-iii/10252" xr:uid="{A5E3FE1C-017D-439F-B7AE-90B52670F44C}"/>
    <hyperlink ref="B4" r:id="rId2" display="https://hornetsports.com/sports/football/roster/savion-red/10415" xr:uid="{D8C8D935-5AE0-4AB0-81AD-8A65C830FF02}"/>
    <hyperlink ref="B5" r:id="rId3" display="https://hornetsports.com/sports/football/roster/jamar-curtis/10248" xr:uid="{ABC288B6-D261-4D3E-AD32-2EB11F5E90A9}"/>
    <hyperlink ref="B6" r:id="rId4" display="https://hornetsports.com/sports/football/roster/rodney-hammond-jr-/10263" xr:uid="{814CB45D-7776-44B8-8D4F-76D186B8C473}"/>
    <hyperlink ref="B7" r:id="rId5" display="https://hornetsports.com/sports/football/roster/deven-wright/10404" xr:uid="{4FE659F0-13F3-4AFA-BE0B-F6689428FE76}"/>
    <hyperlink ref="B8" r:id="rId6" display="https://hornetsports.com/sports/football/roster/jordan-anderson/10243" xr:uid="{9137817F-982B-43EC-ADC7-CD569769FD1C}"/>
    <hyperlink ref="B9" r:id="rId7" display="https://hornetsports.com/sports/football/roster/brodie-tagaloa/10255" xr:uid="{224C74C9-143B-4A09-9B69-B43D32334BB1}"/>
    <hyperlink ref="B10" r:id="rId8" display="https://hornetsports.com/sports/football/roster/diesel-gordon/10405" xr:uid="{4CA524CC-3A5B-420F-8632-3D1C267D2299}"/>
    <hyperlink ref="B11" r:id="rId9" display="https://hornetsports.com/sports/football/roster/damian-henderson-ii/10264" xr:uid="{D623AFA1-9FDA-4469-ABDE-588A40B8826F}"/>
    <hyperlink ref="B12" r:id="rId10" display="https://hornetsports.com/sports/football/roster/oscar-moore/10416" xr:uid="{98E91C6D-7139-4D64-B808-15C27D613153}"/>
    <hyperlink ref="B13" r:id="rId11" display="https://hornetsports.com/sports/football/roster/jaden-rashada/10411" xr:uid="{3FA44C68-92F2-490C-96F3-0F76D6026A61}"/>
    <hyperlink ref="B14" r:id="rId12" display="https://hornetsports.com/sports/football/roster/jamar-malone/10425" xr:uid="{6A9518CC-0DEF-4E87-8A97-1374446F6565}"/>
    <hyperlink ref="B15" r:id="rId13" display="https://hornetsports.com/sports/football/roster/warren-smith-jr-/10407" xr:uid="{98D70EC4-1C35-4759-81F3-2B2A1202F86D}"/>
    <hyperlink ref="B16" r:id="rId14" display="https://hornetsports.com/sports/football/roster/cardell-williams/10245" xr:uid="{D4009481-08EE-4208-BCE4-419BDA284F3E}"/>
    <hyperlink ref="B17" r:id="rId15" display="https://hornetsports.com/sports/football/roster/jalen-williams/10228" xr:uid="{800D9247-9A48-4CF9-920A-F534181F56A1}"/>
    <hyperlink ref="B18" r:id="rId16" display="https://hornetsports.com/sports/football/roster/tim-conerly/10259" xr:uid="{3574C339-B752-4CC8-BB33-896271984FED}"/>
    <hyperlink ref="B19" r:id="rId17" display="https://hornetsports.com/sports/football/roster/kris-ross/10447" xr:uid="{B2248B40-373F-476B-A97E-5B473F425F01}"/>
    <hyperlink ref="B20" r:id="rId18" display="https://hornetsports.com/sports/football/roster/damien-mcdaniel/10242" xr:uid="{E1E424BA-EE27-41B2-BFFF-24DF05818024}"/>
    <hyperlink ref="B21" r:id="rId19" display="https://hornetsports.com/sports/football/roster/malik-tullis/10410" xr:uid="{200ED146-EDE2-4033-85F7-1323CBDAB5B0}"/>
    <hyperlink ref="B22" r:id="rId20" display="https://hornetsports.com/sports/football/roster/jayden-robinson/10461" xr:uid="{5B766D45-001F-49D5-932E-FC9CE47FF893}"/>
    <hyperlink ref="B23" r:id="rId21" display="https://hornetsports.com/sports/football/roster/jace-wilson/10251" xr:uid="{2E5EF060-ABD0-4928-A819-589C3DE9E311}"/>
    <hyperlink ref="B24" r:id="rId22" display="https://hornetsports.com/sports/football/roster/jamal-hood/10432" xr:uid="{F33C55FD-5AE8-4C66-9CF6-0F768B001B35}"/>
    <hyperlink ref="B25" r:id="rId23" display="https://hornetsports.com/sports/football/roster/gavin-thomson/10406" xr:uid="{0C204752-8C8B-4A11-B832-9FF10890691B}"/>
    <hyperlink ref="B26" r:id="rId24" display="https://hornetsports.com/sports/football/roster/jason-oliver/10202" xr:uid="{B91BE6E5-250F-4FEA-9AF7-B6AEF4DB4A7D}"/>
    <hyperlink ref="B27" r:id="rId25" display="https://hornetsports.com/sports/football/roster/onterrio-smith-jr-/10218" xr:uid="{2E004A74-F196-4F4B-94E5-9D4CFE2FEF05}"/>
    <hyperlink ref="B28" r:id="rId26" display="https://hornetsports.com/sports/football/roster/ernest-campbell/10448" xr:uid="{E6035737-2E2D-4ACA-92F9-6FF38253C10E}"/>
    <hyperlink ref="B29" r:id="rId27" display="https://hornetsports.com/sports/football/roster/yebrell-emerson/10161" xr:uid="{EF6EDD25-499C-4432-93C5-DAE7FC303C43}"/>
    <hyperlink ref="B30" r:id="rId28" display="https://hornetsports.com/sports/football/roster/curron-borders/10147" xr:uid="{9B5D9032-E9DF-4FA4-8F34-205C3683BAB9}"/>
    <hyperlink ref="B31" r:id="rId29" display="https://hornetsports.com/sports/football/roster/drey-garner/10422" xr:uid="{FFA97720-7E67-44F2-A2E0-4A9029D87626}"/>
    <hyperlink ref="B32" r:id="rId30" display="https://hornetsports.com/sports/football/roster/brennon-scott/10256" xr:uid="{F587F9B2-BE95-4008-A0F5-565132937AB2}"/>
    <hyperlink ref="B33" r:id="rId31" display="https://hornetsports.com/sports/football/roster/je-kob-jones/10403" xr:uid="{9A444780-AC59-49D9-BB52-0C66512AC9CA}"/>
    <hyperlink ref="B34" r:id="rId32" display="https://hornetsports.com/sports/football/roster/luke-sprague/10596" xr:uid="{F7D33FDE-94F5-4B45-8E08-E99DDEC15D4F}"/>
    <hyperlink ref="B35" r:id="rId33" display="https://hornetsports.com/sports/football/roster/kaleb-higgins/10175" xr:uid="{E39F72DE-3405-4912-B83B-4F84DA4B0E43}"/>
    <hyperlink ref="B36" r:id="rId34" display="https://hornetsports.com/sports/football/roster/jordan-williams/10260" xr:uid="{05F49FC5-EDF0-45DC-A946-7C656FB7B6B7}"/>
    <hyperlink ref="B37" r:id="rId35" display="https://hornetsports.com/sports/football/roster/ajon-bryant/10149" xr:uid="{9EC70E72-4932-4048-A3C0-05D72816A14C}"/>
    <hyperlink ref="B38" r:id="rId36" display="https://hornetsports.com/sports/football/roster/anta-veon-mckenzie/10195" xr:uid="{7D77B9ED-CC07-430F-8DBF-BDDD1E49BF50}"/>
    <hyperlink ref="B39" r:id="rId37" display="https://hornetsports.com/sports/football/roster/tye-nickens/10427" xr:uid="{55508E1C-1B5E-47CD-8432-91AF4A3005EF}"/>
    <hyperlink ref="B40" r:id="rId38" display="https://hornetsports.com/sports/football/roster/fata-puloka/10207" xr:uid="{EA04777D-57C4-4F61-A14A-62C873255E84}"/>
    <hyperlink ref="B41" r:id="rId39" display="https://hornetsports.com/sports/football/roster/josh-cashiola/10153" xr:uid="{CB7BCDB4-64DD-4213-823C-FF50E662D9B7}"/>
    <hyperlink ref="B42" r:id="rId40" display="https://hornetsports.com/sports/football/roster/logan-tanner/10250" xr:uid="{AC813DC8-7912-45C9-9ADA-439907FC9E40}"/>
    <hyperlink ref="B43" r:id="rId41" display="https://hornetsports.com/sports/football/roster/adam-taylor/10225" xr:uid="{6AC12976-ED3A-4824-BF36-E1C209BD1689}"/>
    <hyperlink ref="B44" r:id="rId42" display="https://hornetsports.com/sports/football/roster/hayden-anderson/10246" xr:uid="{BD55D57F-ADB8-402E-B889-4A1CA5317739}"/>
    <hyperlink ref="B45" r:id="rId43" display="https://hornetsports.com/sports/football/roster/dejuan-butler/10151" xr:uid="{71EB3B8B-5BB5-4879-9EAB-7490CE47F413}"/>
    <hyperlink ref="B46" r:id="rId44" display="https://hornetsports.com/sports/football/roster/elias-mullican/10199" xr:uid="{F138F8FD-2AD9-4955-8480-2C6D72CB5DA3}"/>
    <hyperlink ref="B47" r:id="rId45" display="https://hornetsports.com/sports/football/roster/jaquail-smith/10428" xr:uid="{128D4FF6-9966-470B-97B0-17B0E1B963C9}"/>
    <hyperlink ref="B48" r:id="rId46" display="https://hornetsports.com/sports/football/roster/elias-brown/10431" xr:uid="{002A0E76-A56B-4E2D-8260-5C0546556586}"/>
    <hyperlink ref="B49" r:id="rId47" display="https://hornetsports.com/sports/football/roster/lamont-johnson-burrell/10182" xr:uid="{C49843C8-93E9-4594-B944-C959E20A9595}"/>
    <hyperlink ref="B50" r:id="rId48" display="https://hornetsports.com/sports/football/roster/lono-chouteau/10420" xr:uid="{7E95F74A-34D4-4EFE-9237-69195AA63B3A}"/>
    <hyperlink ref="B51" r:id="rId49" display="https://hornetsports.com/sports/football/roster/michael-johnson/10517" xr:uid="{9BA947C7-FFFA-4522-BCF4-0DBF74AF644F}"/>
    <hyperlink ref="B52" r:id="rId50" display="https://hornetsports.com/sports/football/roster/naytel-mitchell/10426" xr:uid="{E6F391D4-1640-4E03-AAA8-80714A47587D}"/>
    <hyperlink ref="B53" r:id="rId51" display="https://hornetsports.com/sports/football/roster/max-susini/10595" xr:uid="{2A5E1310-F518-4C70-9EFB-2453BDA0EE6F}"/>
    <hyperlink ref="B54" r:id="rId52" display="https://hornetsports.com/sports/football/roster/mike-taylor/10430" xr:uid="{80E0030C-6BB5-4588-B5FB-DB809A753FE7}"/>
    <hyperlink ref="B55" r:id="rId53" display="https://hornetsports.com/sports/football/roster/sam-adams-ii/10414" xr:uid="{2F4C07FE-41E1-4F22-B6E3-48BAFB393A61}"/>
    <hyperlink ref="B56" r:id="rId54" display="https://hornetsports.com/sports/football/roster/kj-jefferson/10423" xr:uid="{C0FC77DA-766A-4F08-B705-18D144206826}"/>
    <hyperlink ref="B57" r:id="rId55" display="https://hornetsports.com/sports/football/roster/koa-akui/10142" xr:uid="{D097271B-8D06-4E50-82C4-A3DB2495FB29}"/>
    <hyperlink ref="B58" r:id="rId56" display="https://hornetsports.com/sports/football/roster/pita-vi/10354" xr:uid="{7595E946-2F3B-416F-BBD8-03C5159C36F4}"/>
    <hyperlink ref="B59" r:id="rId57" display="https://hornetsports.com/sports/football/roster/jackson-cahoon/10419" xr:uid="{0ADAE4CE-D94F-4D08-AC5F-CAC21968BA10}"/>
    <hyperlink ref="B60" r:id="rId58" display="https://hornetsports.com/sports/football/roster/matthew-eskridge-ii/10162" xr:uid="{C6D5FB03-2C6C-4BBC-8169-B91A12BA0558}"/>
    <hyperlink ref="B61" r:id="rId59" display="https://hornetsports.com/sports/football/roster/alex-rocha/10211" xr:uid="{761E3735-0E95-4112-90A0-69401C2D7713}"/>
    <hyperlink ref="B62" r:id="rId60" display="https://hornetsports.com/sports/football/roster/dylan-gooden/10459" xr:uid="{B1B114BF-D5EA-4A29-BA72-58ED5B0EFAAA}"/>
    <hyperlink ref="B63" r:id="rId61" display="https://hornetsports.com/sports/football/roster/hunter-boeddeker/10146" xr:uid="{73A61B2F-5E38-4574-89EB-CCF699385F4A}"/>
    <hyperlink ref="B64" r:id="rId62" display="https://hornetsports.com/sports/football/roster/connor-mcdowell/10333" xr:uid="{1D329460-2301-4C03-83DB-5A5A4E2F5A1E}"/>
    <hyperlink ref="B65" r:id="rId63" display="https://hornetsports.com/sports/football/roster/sammy-norris/10249" xr:uid="{383FB16E-E0DB-4EC7-A379-AB98465760A7}"/>
    <hyperlink ref="B66" r:id="rId64" display="https://hornetsports.com/sports/football/roster/derek-houston/10176" xr:uid="{7F76DBA3-6617-4889-9498-502C34F53A96}"/>
    <hyperlink ref="B67" r:id="rId65" display="https://hornetsports.com/sports/football/roster/caleb-reese/10240" xr:uid="{D4D7CB73-3865-4434-90A2-3130E7EF5C08}"/>
    <hyperlink ref="B68" r:id="rId66" display="https://hornetsports.com/sports/football/roster/in-memory-of-john-bloomfield/10180" xr:uid="{C9FF220E-E3AB-4DDE-9540-732BFDE9274F}"/>
    <hyperlink ref="B69" r:id="rId67" display="https://hornetsports.com/sports/football/roster/diego-davis/10401" xr:uid="{8C93B956-E3C3-4389-ACA6-5FDACE757D8B}"/>
    <hyperlink ref="B70" r:id="rId68" display="https://hornetsports.com/sports/football/roster/xavier-williams/10229" xr:uid="{DE064B12-5B35-44F1-A929-0C8F174C806A}"/>
    <hyperlink ref="B71" r:id="rId69" display="https://hornetsports.com/sports/football/roster/mike-melanson/10460" xr:uid="{664B62DB-CFAC-41D3-8D50-DA6ACAB9F3D9}"/>
    <hyperlink ref="B72" r:id="rId70" display="https://hornetsports.com/sports/football/roster/adam-johnston/10183" xr:uid="{5FC4FFFA-0C41-4EFC-B80E-D3E602D322A4}"/>
    <hyperlink ref="B73" r:id="rId71" display="https://hornetsports.com/sports/football/roster/jojo-solis/10233" xr:uid="{70C53A3E-49AA-4C35-BD17-FE4A2A290336}"/>
    <hyperlink ref="B74" r:id="rId72" display="https://hornetsports.com/sports/football/roster/grant-meadors/10332" xr:uid="{B74A3D03-1E21-487C-9323-2DD02306D8E1}"/>
    <hyperlink ref="B75" r:id="rId73" display="https://hornetsports.com/sports/football/roster/joseph-speno/10222" xr:uid="{82E62965-024C-42B6-A9CD-3FA8E3130FC6}"/>
    <hyperlink ref="B76" r:id="rId74" display="https://hornetsports.com/sports/football/roster/dean-abdullah/10247" xr:uid="{27C79F24-660E-489C-9ABF-39F487113026}"/>
    <hyperlink ref="B77" r:id="rId75" display="https://hornetsports.com/sports/football/roster/elijah-ortiz/10203" xr:uid="{C993C08C-3518-44D5-B5E8-CAE1D585F636}"/>
    <hyperlink ref="B78" r:id="rId76" display="https://hornetsports.com/sports/football/roster/miles-bailey/10253" xr:uid="{4C43E758-C93B-4CB9-9EBF-C8B3581C9DA1}"/>
    <hyperlink ref="B79" r:id="rId77" display="https://hornetsports.com/sports/football/roster/dylan-hampsten/10408" xr:uid="{1A0E83B5-3347-45A0-8DC0-031EA69BA88C}"/>
    <hyperlink ref="B80" r:id="rId78" display="https://hornetsports.com/sports/football/roster/jayland-mcglothen/10192" xr:uid="{9A6292E0-44CB-4638-A803-27CABF6B6B94}"/>
    <hyperlink ref="B81" r:id="rId79" display="https://hornetsports.com/sports/football/roster/desean-watts/10257" xr:uid="{8CB186FF-E091-486C-BA1F-9D254EF68657}"/>
    <hyperlink ref="B82" r:id="rId80" display="https://hornetsports.com/sports/football/roster/kenndel-riley/10208" xr:uid="{30F35279-F6A0-4508-BD61-28330DD9C9BA}"/>
    <hyperlink ref="B83" r:id="rId81" display="https://hornetsports.com/sports/football/roster/graysen-lee/10238" xr:uid="{642B7749-B62F-484A-8CB7-4427A0C9268B}"/>
    <hyperlink ref="B84" r:id="rId82" display="https://hornetsports.com/sports/football/roster/brandon-sousa/10221" xr:uid="{3CB8F769-14D8-4DE1-A5CB-B34C865EE02E}"/>
    <hyperlink ref="B85" r:id="rId83" display="https://hornetsports.com/sports/football/roster/cade-gretlein/10169" xr:uid="{EB5880CC-8457-4D6A-80A9-0CD674333161}"/>
    <hyperlink ref="B86" r:id="rId84" display="https://hornetsports.com/sports/football/roster/giovanni-kovacs/10187" xr:uid="{CB22E9B7-C98D-4E49-8FCA-48148C7EFB7A}"/>
    <hyperlink ref="B87" r:id="rId85" display="https://hornetsports.com/sports/football/roster/luke-slater/10216" xr:uid="{C1244E3B-E519-4C98-B36A-099310B8544E}"/>
    <hyperlink ref="B88" r:id="rId86" display="https://hornetsports.com/sports/football/roster/davis-may/10191" xr:uid="{051D2546-6B7A-4CD8-A8D9-91F9E1F1DF63}"/>
    <hyperlink ref="B89" r:id="rId87" display="https://hornetsports.com/sports/football/roster/jaxon-moore/10237" xr:uid="{36EE8AC3-2DEA-4239-BA81-95D85FBF00F8}"/>
    <hyperlink ref="B90" r:id="rId88" display="https://hornetsports.com/sports/football/roster/bryson-summers/10224" xr:uid="{E1198EA9-20F3-4393-B721-4EC5C80886C6}"/>
    <hyperlink ref="B91" r:id="rId89" display="https://hornetsports.com/sports/football/roster/sawyer-hays/10172" xr:uid="{E31B104D-69C2-4989-8E9E-0578BD4E44FD}"/>
    <hyperlink ref="B92" r:id="rId90" display="https://hornetsports.com/sports/football/roster/jose-soto/10220" xr:uid="{47ABE796-ACF3-4147-9BEE-DCBCD5166532}"/>
    <hyperlink ref="B93" r:id="rId91" display="https://hornetsports.com/sports/football/roster/aidan-meek/10196" xr:uid="{514EE6B4-6D08-4452-83FA-801213852A90}"/>
    <hyperlink ref="B94" r:id="rId92" display="https://hornetsports.com/sports/football/roster/deanthony-sheffield/10433" xr:uid="{DDB61839-8EE2-48DC-9AA6-CE1C7068F8CF}"/>
    <hyperlink ref="B95" r:id="rId93" display="https://hornetsports.com/sports/football/roster/jeremiah-stallworth/10429" xr:uid="{F84A48AD-34A2-417F-BD5C-83C82C639E55}"/>
    <hyperlink ref="B96" r:id="rId94" display="https://hornetsports.com/sports/football/roster/richard-mckay/10194" xr:uid="{1B54EEAF-76FC-4AB7-AF11-1A126E2B3DE6}"/>
    <hyperlink ref="B97" r:id="rId95" display="https://hornetsports.com/sports/football/roster/jordan-herman/10402" xr:uid="{43695232-92CD-4505-874A-C223745BF54D}"/>
    <hyperlink ref="B98" r:id="rId96" display="https://hornetsports.com/sports/football/roster/trey-bass/10418" xr:uid="{8C13B09F-5884-4D3A-8B62-744CF0C12D9C}"/>
    <hyperlink ref="B99" r:id="rId97" display="https://hornetsports.com/sports/football/roster/tre-fernandez/10421" xr:uid="{F15BF344-CEC6-4895-B97F-9F3A76EF52E4}"/>
    <hyperlink ref="B100" r:id="rId98" display="https://hornetsports.com/sports/football/roster/jaxon-fresques/10330" xr:uid="{A6E419E3-9898-4979-B67F-C0A5D53A2060}"/>
    <hyperlink ref="B101" r:id="rId99" display="https://hornetsports.com/sports/football/roster/dontae-robinson/10434" xr:uid="{99336D24-1398-455B-8832-E6A03C2DAD23}"/>
    <hyperlink ref="B102" r:id="rId100" display="https://hornetsports.com/sports/football/roster/elijah-huddle/10234" xr:uid="{633921E9-958C-49BF-BB5B-A197BCF26BAD}"/>
    <hyperlink ref="B103" r:id="rId101" display="https://hornetsports.com/sports/football/roster/davis-ambuehl/10327" xr:uid="{F4F2FE19-DBA2-404D-9C0C-6FD4129433E3}"/>
    <hyperlink ref="B104" r:id="rId102" display="https://hornetsports.com/sports/football/roster/gavin-nelson/10439" xr:uid="{2BAE1533-A839-42E6-8526-0127754F70A9}"/>
    <hyperlink ref="B105" r:id="rId103" display="https://hornetsports.com/sports/football/roster/bear-tenney/10412" xr:uid="{8532C3E5-D988-43F9-9152-788B81EB05CA}"/>
    <hyperlink ref="B106" r:id="rId104" display="https://hornetsports.com/sports/football/roster/syncere-massey/10442" xr:uid="{F35CFB7D-953C-43BE-820A-0931D9B480A2}"/>
    <hyperlink ref="B107" r:id="rId105" display="https://hornetsports.com/sports/football/roster/james-gillespie/10443" xr:uid="{6E800FEE-2A8A-4739-95BE-BCE5F1D2112A}"/>
    <hyperlink ref="B108" r:id="rId106" display="https://hornetsports.com/sports/football/roster/cal-mcgough/10193" xr:uid="{BF767ECA-CEB1-4EB7-8014-BFB83205979F}"/>
    <hyperlink ref="B109" r:id="rId107" display="https://hornetsports.com/sports/football/roster/jordan-jefferson/10435" xr:uid="{8C952D0B-47B0-45A6-93CB-F82E0C66FD95}"/>
    <hyperlink ref="B110" r:id="rId108" display="https://hornetsports.com/sports/football/roster/malachi-kindle/10424" xr:uid="{3CAE97F0-3F1E-4EA6-9E54-7A8E96934463}"/>
    <hyperlink ref="B111" r:id="rId109" display="https://hornetsports.com/sports/football/roster/micah-mosley/10239" xr:uid="{F017755A-652F-4A3A-811A-1604FEAB4016}"/>
    <hyperlink ref="B112" r:id="rId110" display="https://hornetsports.com/sports/football/roster/nash-burkart/10232" xr:uid="{1D540521-38D6-4014-907E-A86B35E59049}"/>
    <hyperlink ref="B113" r:id="rId111" display="https://hornetsports.com/sports/football/roster/melvin-swindle-ii/10409" xr:uid="{581181A5-204E-43D9-86C5-AAD7E112CFAD}"/>
    <hyperlink ref="B114" r:id="rId112" display="https://hornetsports.com/sports/football/roster/joseph-firebaugh/10258" xr:uid="{D0048609-46A1-4F7B-B36D-618635CE909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23C9-B5C3-4C73-9036-D62D32501655}">
  <sheetPr>
    <pageSetUpPr fitToPage="1"/>
  </sheetPr>
  <dimension ref="A1:P112"/>
  <sheetViews>
    <sheetView topLeftCell="B13" zoomScale="115" zoomScaleNormal="115" zoomScaleSheetLayoutView="100" workbookViewId="0">
      <selection activeCell="V30" sqref="V30"/>
    </sheetView>
  </sheetViews>
  <sheetFormatPr defaultRowHeight="15" x14ac:dyDescent="0.2"/>
  <cols>
    <col min="1" max="1" width="5.51171875" style="58" hidden="1" customWidth="1"/>
    <col min="2" max="2" width="10.76171875" style="28" customWidth="1"/>
    <col min="3" max="3" width="6.72265625" customWidth="1"/>
    <col min="4" max="4" width="30.66796875" style="9" customWidth="1"/>
    <col min="5" max="5" width="10.76171875" style="9" hidden="1" customWidth="1"/>
    <col min="6" max="6" width="16.27734375" style="9" hidden="1" customWidth="1"/>
    <col min="7" max="7" width="17.08203125" style="9" hidden="1" customWidth="1"/>
    <col min="8" max="8" width="9.14453125" style="9" hidden="1" customWidth="1"/>
    <col min="9" max="10" width="9.14453125" hidden="1" customWidth="1"/>
    <col min="12" max="12" width="4.70703125" hidden="1" customWidth="1"/>
    <col min="13" max="13" width="10.76171875" customWidth="1"/>
    <col min="14" max="14" width="6.72265625" customWidth="1"/>
    <col min="15" max="15" width="30.66796875" customWidth="1"/>
    <col min="16" max="16" width="10.76171875" hidden="1" customWidth="1"/>
  </cols>
  <sheetData>
    <row r="1" spans="1:16" x14ac:dyDescent="0.2">
      <c r="A1" s="56" t="s">
        <v>895</v>
      </c>
      <c r="B1" s="9" t="s">
        <v>714</v>
      </c>
      <c r="C1" s="9" t="s">
        <v>715</v>
      </c>
      <c r="D1" s="31" t="s">
        <v>311</v>
      </c>
      <c r="E1" s="61" t="s">
        <v>731</v>
      </c>
      <c r="F1" s="28" t="s">
        <v>710</v>
      </c>
      <c r="G1" t="s">
        <v>723</v>
      </c>
      <c r="H1" s="9" t="s">
        <v>74</v>
      </c>
      <c r="I1" s="9" t="s">
        <v>711</v>
      </c>
      <c r="J1" s="9" t="s">
        <v>718</v>
      </c>
      <c r="L1" s="59" t="s">
        <v>895</v>
      </c>
      <c r="M1" s="60" t="s">
        <v>714</v>
      </c>
      <c r="N1" s="60" t="s">
        <v>715</v>
      </c>
      <c r="O1" s="60" t="s">
        <v>311</v>
      </c>
      <c r="P1" s="61" t="s">
        <v>731</v>
      </c>
    </row>
    <row r="2" spans="1:16" ht="15" customHeight="1" x14ac:dyDescent="0.2">
      <c r="A2" s="57">
        <v>1</v>
      </c>
      <c r="B2" s="48" t="s">
        <v>724</v>
      </c>
      <c r="C2" s="48">
        <v>1</v>
      </c>
      <c r="D2" s="22" t="s">
        <v>69</v>
      </c>
      <c r="E2" s="21" t="str" cm="1">
        <f t="array" ref="E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2" s="54" t="s">
        <v>659</v>
      </c>
      <c r="G2" s="21" t="str">
        <f>VLOOKUP(Table253[[#This Row],[Offical_ID]],Master_Roster[[Offical ID]:[Last Name]],3,FALSE)</f>
        <v>Jojo</v>
      </c>
      <c r="H2" s="21" t="s">
        <v>351</v>
      </c>
      <c r="I2" s="21">
        <v>814328</v>
      </c>
      <c r="J2" s="21" t="s">
        <v>717</v>
      </c>
      <c r="L2" s="57">
        <v>72</v>
      </c>
      <c r="M2" s="48" t="s">
        <v>727</v>
      </c>
      <c r="N2" s="48">
        <v>24</v>
      </c>
      <c r="O2" s="22" t="s">
        <v>278</v>
      </c>
      <c r="P2" s="21" t="str" cm="1">
        <f t="array" ref="P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3" spans="1:16" ht="15" customHeight="1" x14ac:dyDescent="0.2">
      <c r="A3" s="88">
        <v>2</v>
      </c>
      <c r="B3" s="89" t="s">
        <v>724</v>
      </c>
      <c r="C3" s="89">
        <v>2</v>
      </c>
      <c r="D3" s="90" t="s">
        <v>282</v>
      </c>
      <c r="E3" s="91" t="str" cm="1">
        <f t="array" ref="E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3" s="54" t="s">
        <v>638</v>
      </c>
      <c r="G3" s="21" t="str">
        <f>VLOOKUP(Table253[[#This Row],[Offical_ID]],Master_Roster[[Offical ID]:[Last Name]],3,FALSE)</f>
        <v>Jaquail</v>
      </c>
      <c r="H3" s="21" t="s">
        <v>80</v>
      </c>
      <c r="I3" s="21">
        <v>814339</v>
      </c>
      <c r="J3" s="21" t="s">
        <v>716</v>
      </c>
      <c r="L3" s="88">
        <v>73</v>
      </c>
      <c r="M3" s="98" t="s">
        <v>728</v>
      </c>
      <c r="N3" s="98">
        <v>1</v>
      </c>
      <c r="O3" s="90" t="s">
        <v>68</v>
      </c>
      <c r="P3" s="91" t="str" cm="1">
        <f t="array" ref="P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4" spans="1:16" ht="15" customHeight="1" x14ac:dyDescent="0.2">
      <c r="A4" s="57">
        <v>3</v>
      </c>
      <c r="B4" s="48" t="s">
        <v>724</v>
      </c>
      <c r="C4" s="48">
        <v>3</v>
      </c>
      <c r="D4" s="22" t="s">
        <v>304</v>
      </c>
      <c r="E4" s="21" t="str" cm="1">
        <f t="array" ref="E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4" s="54" t="s">
        <v>697</v>
      </c>
      <c r="G4" s="21" t="str">
        <f>VLOOKUP(Table253[[#This Row],[Offical_ID]],Master_Roster[[Offical ID]:[Last Name]],3,FALSE)</f>
        <v>Malachi</v>
      </c>
      <c r="H4" s="21" t="s">
        <v>88</v>
      </c>
      <c r="I4" s="21">
        <v>814591</v>
      </c>
      <c r="J4" s="21" t="s">
        <v>717</v>
      </c>
      <c r="L4" s="57">
        <v>74</v>
      </c>
      <c r="M4" s="48" t="s">
        <v>728</v>
      </c>
      <c r="N4" s="48">
        <v>2</v>
      </c>
      <c r="O4" s="22" t="s">
        <v>288</v>
      </c>
      <c r="P4" s="21" t="str" cm="1">
        <f t="array" ref="P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</row>
    <row r="5" spans="1:16" ht="15" customHeight="1" x14ac:dyDescent="0.2">
      <c r="A5" s="88">
        <v>4</v>
      </c>
      <c r="B5" s="89" t="s">
        <v>724</v>
      </c>
      <c r="C5" s="89">
        <v>4</v>
      </c>
      <c r="D5" s="90" t="s">
        <v>305</v>
      </c>
      <c r="E5" s="91" t="str" cm="1">
        <f t="array" ref="E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5" s="54" t="s">
        <v>698</v>
      </c>
      <c r="G5" s="21" t="str">
        <f>VLOOKUP(Table253[[#This Row],[Offical_ID]],Master_Roster[[Offical ID]:[Last Name]],3,FALSE)</f>
        <v>Micah</v>
      </c>
      <c r="H5" s="21" t="s">
        <v>338</v>
      </c>
      <c r="I5" s="21">
        <v>814296</v>
      </c>
      <c r="J5" s="21" t="s">
        <v>717</v>
      </c>
      <c r="L5" s="88">
        <v>75</v>
      </c>
      <c r="M5" s="89" t="s">
        <v>728</v>
      </c>
      <c r="N5" s="89">
        <v>3</v>
      </c>
      <c r="O5" s="90" t="s">
        <v>47</v>
      </c>
      <c r="P5" s="91" t="s">
        <v>892</v>
      </c>
    </row>
    <row r="6" spans="1:16" ht="15" customHeight="1" x14ac:dyDescent="0.2">
      <c r="A6" s="57">
        <v>5</v>
      </c>
      <c r="B6" s="48" t="s">
        <v>724</v>
      </c>
      <c r="C6" s="48">
        <v>5</v>
      </c>
      <c r="D6" s="22" t="s">
        <v>50</v>
      </c>
      <c r="E6" s="21" t="s">
        <v>732</v>
      </c>
      <c r="F6" s="54" t="s">
        <v>673</v>
      </c>
      <c r="G6" s="21" t="str">
        <f>VLOOKUP(Table253[[#This Row],[Offical_ID]],Master_Roster[[Offical ID]:[Last Name]],3,FALSE)</f>
        <v>Giovanni</v>
      </c>
      <c r="H6" s="21" t="s">
        <v>205</v>
      </c>
      <c r="I6" s="21">
        <v>814449</v>
      </c>
      <c r="J6" s="21" t="s">
        <v>716</v>
      </c>
      <c r="L6" s="57">
        <v>76</v>
      </c>
      <c r="M6" s="48" t="s">
        <v>728</v>
      </c>
      <c r="N6" s="48">
        <v>4</v>
      </c>
      <c r="O6" s="22" t="s">
        <v>281</v>
      </c>
      <c r="P6" s="21" t="str" cm="1">
        <f t="array" ref="P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</row>
    <row r="7" spans="1:16" ht="15" customHeight="1" x14ac:dyDescent="0.2">
      <c r="A7" s="88">
        <v>6</v>
      </c>
      <c r="B7" s="89" t="s">
        <v>724</v>
      </c>
      <c r="C7" s="89">
        <v>6</v>
      </c>
      <c r="D7" s="90" t="s">
        <v>25</v>
      </c>
      <c r="E7" s="91" t="str" cm="1">
        <f t="array" ref="E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7" s="54" t="s">
        <v>634</v>
      </c>
      <c r="G7" s="21" t="str">
        <f>VLOOKUP(Table253[[#This Row],[Offical_ID]],Master_Roster[[Offical ID]:[Last Name]],3,FALSE)</f>
        <v>Adam</v>
      </c>
      <c r="H7" s="21" t="s">
        <v>321</v>
      </c>
      <c r="I7" s="21">
        <v>814341</v>
      </c>
      <c r="J7" s="21" t="s">
        <v>717</v>
      </c>
      <c r="L7" s="88">
        <v>77</v>
      </c>
      <c r="M7" s="89" t="s">
        <v>728</v>
      </c>
      <c r="N7" s="89">
        <v>5</v>
      </c>
      <c r="O7" s="90" t="s">
        <v>23</v>
      </c>
      <c r="P7" s="91" t="str" cm="1">
        <f t="array" ref="P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8" spans="1:16" ht="15" customHeight="1" x14ac:dyDescent="0.2">
      <c r="A8" s="57">
        <v>7</v>
      </c>
      <c r="B8" s="48" t="s">
        <v>724</v>
      </c>
      <c r="C8" s="48">
        <v>7</v>
      </c>
      <c r="D8" s="22" t="s">
        <v>12</v>
      </c>
      <c r="E8" s="21" t="str" cm="1">
        <f t="array" ref="E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" s="54" t="s">
        <v>622</v>
      </c>
      <c r="G8" s="21" t="str">
        <f>VLOOKUP(Table253[[#This Row],[Offical_ID]],Master_Roster[[Offical ID]:[Last Name]],3,FALSE)</f>
        <v>Drey</v>
      </c>
      <c r="H8" s="21" t="s">
        <v>93</v>
      </c>
      <c r="I8" s="21">
        <v>814344</v>
      </c>
      <c r="J8" s="21" t="s">
        <v>716</v>
      </c>
      <c r="L8" s="57">
        <v>78</v>
      </c>
      <c r="M8" s="48" t="s">
        <v>728</v>
      </c>
      <c r="N8" s="48">
        <v>6</v>
      </c>
      <c r="O8" s="22" t="s">
        <v>26</v>
      </c>
      <c r="P8" s="21" t="str" cm="1">
        <f t="array" ref="P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9" spans="1:16" ht="15" customHeight="1" x14ac:dyDescent="0.2">
      <c r="A9" s="88">
        <v>8</v>
      </c>
      <c r="B9" s="89" t="s">
        <v>724</v>
      </c>
      <c r="C9" s="89">
        <v>8</v>
      </c>
      <c r="D9" s="90" t="s">
        <v>6</v>
      </c>
      <c r="E9" s="91" t="str" cm="1">
        <f t="array" ref="E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" s="54" t="s">
        <v>637</v>
      </c>
      <c r="G9" s="21" t="str">
        <f>VLOOKUP(Table253[[#This Row],[Offical_ID]],Master_Roster[[Offical ID]:[Last Name]],3,FALSE)</f>
        <v>Elias</v>
      </c>
      <c r="H9" s="21" t="s">
        <v>321</v>
      </c>
      <c r="I9" s="21">
        <v>811738</v>
      </c>
      <c r="J9" s="21" t="s">
        <v>717</v>
      </c>
      <c r="L9" s="88">
        <v>79</v>
      </c>
      <c r="M9" s="89" t="s">
        <v>728</v>
      </c>
      <c r="N9" s="89">
        <v>7</v>
      </c>
      <c r="O9" s="90" t="s">
        <v>18</v>
      </c>
      <c r="P9" s="91" t="s">
        <v>894</v>
      </c>
    </row>
    <row r="10" spans="1:16" ht="15" customHeight="1" x14ac:dyDescent="0.2">
      <c r="A10" s="78">
        <v>9</v>
      </c>
      <c r="B10" s="79" t="s">
        <v>724</v>
      </c>
      <c r="C10" s="79">
        <v>9</v>
      </c>
      <c r="D10" s="80" t="s">
        <v>186</v>
      </c>
      <c r="E10" s="81" t="str" cm="1">
        <f t="array" ref="E1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Spec</v>
      </c>
      <c r="F10" s="21" t="s">
        <v>651</v>
      </c>
      <c r="G10" s="21" t="str">
        <f>VLOOKUP(Table253[[#This Row],[Offical_ID]],Master_Roster[[Offical ID]:[Last Name]],3,FALSE)</f>
        <v>Connor</v>
      </c>
      <c r="H10" s="21" t="s">
        <v>188</v>
      </c>
      <c r="I10" s="21" t="s">
        <v>709</v>
      </c>
      <c r="J10" s="21"/>
      <c r="L10" s="57">
        <v>80</v>
      </c>
      <c r="M10" s="48" t="s">
        <v>728</v>
      </c>
      <c r="N10" s="48">
        <v>8</v>
      </c>
      <c r="O10" s="22" t="s">
        <v>24</v>
      </c>
      <c r="P10" s="21" t="str" cm="1">
        <f t="array" ref="P1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Spec</v>
      </c>
    </row>
    <row r="11" spans="1:16" ht="15" customHeight="1" x14ac:dyDescent="0.2">
      <c r="A11" s="88">
        <v>10</v>
      </c>
      <c r="B11" s="89" t="s">
        <v>724</v>
      </c>
      <c r="C11" s="89">
        <v>10</v>
      </c>
      <c r="D11" s="90" t="s">
        <v>71</v>
      </c>
      <c r="E11" s="91" t="str" cm="1">
        <f t="array" ref="E1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1" s="54" t="s">
        <v>621</v>
      </c>
      <c r="G11" s="21" t="str">
        <f>VLOOKUP(Table253[[#This Row],[Offical_ID]],Master_Roster[[Offical ID]:[Last Name]],3,FALSE)</f>
        <v>Curron</v>
      </c>
      <c r="H11" s="21" t="s">
        <v>80</v>
      </c>
      <c r="I11" s="21">
        <v>814630</v>
      </c>
      <c r="J11" s="21" t="s">
        <v>716</v>
      </c>
      <c r="L11" s="88">
        <v>81</v>
      </c>
      <c r="M11" s="89" t="s">
        <v>728</v>
      </c>
      <c r="N11" s="89">
        <v>9</v>
      </c>
      <c r="O11" s="90" t="s">
        <v>273</v>
      </c>
      <c r="P11" s="91" t="str" cm="1">
        <f t="array" ref="P1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12" spans="1:16" ht="15" customHeight="1" x14ac:dyDescent="0.2">
      <c r="A12" s="57">
        <v>11</v>
      </c>
      <c r="B12" s="48" t="s">
        <v>724</v>
      </c>
      <c r="C12" s="48">
        <v>11</v>
      </c>
      <c r="D12" s="22" t="s">
        <v>271</v>
      </c>
      <c r="E12" s="21" t="str" cm="1">
        <f t="array" ref="E1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2" s="54"/>
      <c r="G12" s="21" t="e">
        <f>VLOOKUP(Table253[[#This Row],[Offical_ID]],Master_Roster[[Offical ID]:[Last Name]],3,FALSE)</f>
        <v>#N/A</v>
      </c>
      <c r="H12" s="21" t="s">
        <v>93</v>
      </c>
      <c r="I12" s="21">
        <v>814595</v>
      </c>
      <c r="J12" s="21" t="s">
        <v>716</v>
      </c>
      <c r="L12" s="57">
        <v>82</v>
      </c>
      <c r="M12" s="48" t="s">
        <v>728</v>
      </c>
      <c r="N12" s="48">
        <v>10</v>
      </c>
      <c r="O12" s="22" t="s">
        <v>38</v>
      </c>
      <c r="P12" s="21" t="str" cm="1">
        <f t="array" ref="P1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13" spans="1:16" ht="15" customHeight="1" x14ac:dyDescent="0.2">
      <c r="A13" s="88">
        <v>12</v>
      </c>
      <c r="B13" s="89" t="s">
        <v>724</v>
      </c>
      <c r="C13" s="89">
        <v>12</v>
      </c>
      <c r="D13" s="90" t="s">
        <v>46</v>
      </c>
      <c r="E13" s="91" t="str" cm="1">
        <f t="array" ref="E1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3" s="21" t="s">
        <v>628</v>
      </c>
      <c r="G13" s="21" t="str">
        <f>VLOOKUP(Table253[[#This Row],[Offical_ID]],Master_Roster[[Offical ID]:[Last Name]],3,FALSE)</f>
        <v>Ajon</v>
      </c>
      <c r="H13" s="21" t="s">
        <v>80</v>
      </c>
      <c r="I13" s="21">
        <v>811509</v>
      </c>
      <c r="J13" s="21" t="s">
        <v>716</v>
      </c>
      <c r="L13" s="88">
        <v>83</v>
      </c>
      <c r="M13" s="89" t="s">
        <v>728</v>
      </c>
      <c r="N13" s="89">
        <v>11</v>
      </c>
      <c r="O13" s="90" t="s">
        <v>28</v>
      </c>
      <c r="P13" s="91" t="str" cm="1">
        <f t="array" ref="P1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14" spans="1:16" ht="15" customHeight="1" x14ac:dyDescent="0.2">
      <c r="A14" s="57">
        <v>13</v>
      </c>
      <c r="B14" s="48" t="s">
        <v>724</v>
      </c>
      <c r="C14" s="48">
        <v>13</v>
      </c>
      <c r="D14" s="22" t="s">
        <v>13</v>
      </c>
      <c r="E14" s="21" t="str" cm="1">
        <f t="array" ref="E1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4" s="54" t="s">
        <v>685</v>
      </c>
      <c r="G14" s="21" t="str">
        <f>VLOOKUP(Table253[[#This Row],[Offical_ID]],Master_Roster[[Offical ID]:[Last Name]],3,FALSE)</f>
        <v>Trey</v>
      </c>
      <c r="H14" s="21" t="s">
        <v>93</v>
      </c>
      <c r="I14" s="21">
        <v>814604</v>
      </c>
      <c r="J14" s="21" t="s">
        <v>716</v>
      </c>
      <c r="L14" s="57">
        <v>84</v>
      </c>
      <c r="M14" s="48" t="s">
        <v>728</v>
      </c>
      <c r="N14" s="48">
        <v>12</v>
      </c>
      <c r="O14" s="22" t="s">
        <v>289</v>
      </c>
      <c r="P14" s="21" t="str" cm="1">
        <f t="array" ref="P1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15" spans="1:16" ht="15" customHeight="1" x14ac:dyDescent="0.2">
      <c r="A15" s="88">
        <v>14</v>
      </c>
      <c r="B15" s="89" t="s">
        <v>724</v>
      </c>
      <c r="C15" s="89">
        <v>14</v>
      </c>
      <c r="D15" s="90" t="s">
        <v>287</v>
      </c>
      <c r="E15" s="91" t="str" cm="1">
        <f t="array" ref="E1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15" s="21" t="s">
        <v>647</v>
      </c>
      <c r="G15" s="21" t="str">
        <f>VLOOKUP(Table253[[#This Row],[Offical_ID]],Master_Roster[[Offical ID]:[Last Name]],3,FALSE)</f>
        <v>Jackson</v>
      </c>
      <c r="H15" s="21" t="s">
        <v>425</v>
      </c>
      <c r="I15" s="21">
        <v>814332</v>
      </c>
      <c r="J15" s="21" t="s">
        <v>717</v>
      </c>
      <c r="L15" s="88">
        <v>85</v>
      </c>
      <c r="M15" s="89" t="s">
        <v>728</v>
      </c>
      <c r="N15" s="89">
        <v>13</v>
      </c>
      <c r="O15" s="90" t="s">
        <v>286</v>
      </c>
      <c r="P15" s="91" t="str" cm="1">
        <f t="array" ref="P1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</row>
    <row r="16" spans="1:16" ht="15" customHeight="1" x14ac:dyDescent="0.2">
      <c r="A16" s="57">
        <v>15</v>
      </c>
      <c r="B16" s="48" t="s">
        <v>724</v>
      </c>
      <c r="C16" s="48">
        <v>15</v>
      </c>
      <c r="D16" s="22" t="s">
        <v>4</v>
      </c>
      <c r="E16" s="21" t="str" cm="1">
        <f t="array" ref="E1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16" s="54" t="s">
        <v>648</v>
      </c>
      <c r="G16" s="21" t="str">
        <f>VLOOKUP(Table253[[#This Row],[Offical_ID]],Master_Roster[[Offical ID]:[Last Name]],3,FALSE)</f>
        <v>Alex</v>
      </c>
      <c r="H16" s="21" t="s">
        <v>425</v>
      </c>
      <c r="I16" s="21">
        <v>811520</v>
      </c>
      <c r="J16" s="21" t="s">
        <v>717</v>
      </c>
      <c r="L16" s="57">
        <v>86</v>
      </c>
      <c r="M16" s="48" t="s">
        <v>728</v>
      </c>
      <c r="N16" s="48">
        <v>14</v>
      </c>
      <c r="O16" s="22" t="s">
        <v>7</v>
      </c>
      <c r="P16" s="21" t="str" cm="1">
        <f t="array" ref="P1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</row>
    <row r="17" spans="1:16" ht="15" customHeight="1" x14ac:dyDescent="0.2">
      <c r="A17" s="88">
        <v>16</v>
      </c>
      <c r="B17" s="89" t="s">
        <v>724</v>
      </c>
      <c r="C17" s="89">
        <v>16</v>
      </c>
      <c r="D17" s="90" t="s">
        <v>285</v>
      </c>
      <c r="E17" s="91" t="str" cm="1">
        <f t="array" ref="E1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17" s="21" t="s">
        <v>643</v>
      </c>
      <c r="G17" s="21" t="str">
        <f>VLOOKUP(Table253[[#This Row],[Offical_ID]],Master_Roster[[Offical ID]:[Last Name]],3,FALSE)</f>
        <v>Mike</v>
      </c>
      <c r="H17" s="21" t="s">
        <v>425</v>
      </c>
      <c r="I17" s="21">
        <v>814335</v>
      </c>
      <c r="J17" s="21" t="s">
        <v>717</v>
      </c>
      <c r="L17" s="88">
        <v>87</v>
      </c>
      <c r="M17" s="89" t="s">
        <v>728</v>
      </c>
      <c r="N17" s="89">
        <v>15</v>
      </c>
      <c r="O17" s="90" t="s">
        <v>577</v>
      </c>
      <c r="P17" s="91" t="str" cm="1">
        <f t="array" ref="P1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</row>
    <row r="18" spans="1:16" ht="15" customHeight="1" x14ac:dyDescent="0.2">
      <c r="A18" s="57">
        <v>17</v>
      </c>
      <c r="B18" s="48" t="s">
        <v>724</v>
      </c>
      <c r="C18" s="48">
        <v>17</v>
      </c>
      <c r="D18" s="22" t="s">
        <v>463</v>
      </c>
      <c r="E18" s="21" t="str" cm="1">
        <f t="array" ref="E1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8" s="54" t="s">
        <v>644</v>
      </c>
      <c r="G18" s="21" t="str">
        <f>VLOOKUP(Table253[[#This Row],[Offical_ID]],Master_Roster[[Offical ID]:[Last Name]],3,FALSE)</f>
        <v>KJ</v>
      </c>
      <c r="H18" s="21" t="s">
        <v>351</v>
      </c>
      <c r="I18" s="21">
        <v>814334</v>
      </c>
      <c r="J18" s="21" t="s">
        <v>717</v>
      </c>
      <c r="L18" s="57">
        <v>88</v>
      </c>
      <c r="M18" s="48" t="s">
        <v>728</v>
      </c>
      <c r="N18" s="48">
        <v>16</v>
      </c>
      <c r="O18" s="22" t="s">
        <v>276</v>
      </c>
      <c r="P18" s="21" t="str" cm="1">
        <f t="array" ref="P1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19" spans="1:16" ht="15" customHeight="1" x14ac:dyDescent="0.2">
      <c r="A19" s="88">
        <v>18</v>
      </c>
      <c r="B19" s="89" t="s">
        <v>724</v>
      </c>
      <c r="C19" s="89">
        <v>18</v>
      </c>
      <c r="D19" s="90" t="s">
        <v>0</v>
      </c>
      <c r="E19" s="91" t="str" cm="1">
        <f t="array" ref="E1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9" s="21" t="s">
        <v>629</v>
      </c>
      <c r="G19" s="21" t="e">
        <f>VLOOKUP(Table253[[#This Row],[Offical_ID]],Master_Roster[[Offical ID]:[Last Name]],3,FALSE)</f>
        <v>#N/A</v>
      </c>
      <c r="H19" s="21" t="s">
        <v>351</v>
      </c>
      <c r="I19" s="21">
        <v>811730</v>
      </c>
      <c r="J19" s="21" t="s">
        <v>717</v>
      </c>
      <c r="L19" s="88">
        <v>89</v>
      </c>
      <c r="M19" s="89" t="s">
        <v>728</v>
      </c>
      <c r="N19" s="89">
        <v>17</v>
      </c>
      <c r="O19" s="90" t="s">
        <v>10</v>
      </c>
      <c r="P19" s="91" t="str" cm="1">
        <f t="array" ref="P1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20" spans="1:16" ht="15" customHeight="1" x14ac:dyDescent="0.2">
      <c r="A20" s="57">
        <v>19</v>
      </c>
      <c r="B20" s="48" t="s">
        <v>724</v>
      </c>
      <c r="C20" s="48">
        <v>19</v>
      </c>
      <c r="D20" s="22" t="s">
        <v>454</v>
      </c>
      <c r="E20" s="21" t="str" cm="1">
        <f t="array" ref="E2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20" s="54" t="s">
        <v>642</v>
      </c>
      <c r="G20" s="21" t="str">
        <f>VLOOKUP(Table253[[#This Row],[Offical_ID]],Master_Roster[[Offical ID]:[Last Name]],3,FALSE)</f>
        <v>Naytel</v>
      </c>
      <c r="H20" s="21" t="s">
        <v>351</v>
      </c>
      <c r="I20" s="21">
        <v>814336</v>
      </c>
      <c r="J20" s="21" t="s">
        <v>717</v>
      </c>
      <c r="L20" s="57">
        <v>90</v>
      </c>
      <c r="M20" s="48" t="s">
        <v>728</v>
      </c>
      <c r="N20" s="48">
        <v>18</v>
      </c>
      <c r="O20" s="22" t="s">
        <v>14</v>
      </c>
      <c r="P20" s="21" t="str" cm="1">
        <f t="array" ref="P2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21" spans="1:16" ht="15" customHeight="1" x14ac:dyDescent="0.2">
      <c r="A21" s="88">
        <v>20</v>
      </c>
      <c r="B21" s="89" t="s">
        <v>724</v>
      </c>
      <c r="C21" s="89">
        <v>20</v>
      </c>
      <c r="D21" s="90" t="s">
        <v>290</v>
      </c>
      <c r="E21" s="91" t="str" cm="1">
        <f t="array" ref="E2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21" s="23" t="s">
        <v>654</v>
      </c>
      <c r="G21" s="23" t="str">
        <f>VLOOKUP(Table253[[#This Row],[Offical_ID]],Master_Roster[[Offical ID]:[Last Name]],3,FALSE)</f>
        <v>Caleb</v>
      </c>
      <c r="H21" s="23" t="s">
        <v>321</v>
      </c>
      <c r="I21" s="23">
        <v>814330</v>
      </c>
      <c r="J21" s="23" t="s">
        <v>717</v>
      </c>
      <c r="L21" s="88">
        <v>91</v>
      </c>
      <c r="M21" s="89" t="s">
        <v>728</v>
      </c>
      <c r="N21" s="89">
        <v>19</v>
      </c>
      <c r="O21" s="90" t="s">
        <v>896</v>
      </c>
      <c r="P21" s="91" t="str" cm="1">
        <f t="array" ref="P2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22" spans="1:16" ht="15" customHeight="1" x14ac:dyDescent="0.2">
      <c r="A22" s="57">
        <v>20.5</v>
      </c>
      <c r="B22" s="48" t="s">
        <v>726</v>
      </c>
      <c r="C22" s="48">
        <v>15</v>
      </c>
      <c r="D22" s="22" t="s">
        <v>893</v>
      </c>
      <c r="E22" s="21" t="s">
        <v>892</v>
      </c>
      <c r="F22" s="54"/>
      <c r="G22" s="21" t="e">
        <f>VLOOKUP(Table253[[#This Row],[Offical_ID]],Master_Roster[[Offical ID]:[Last Name]],3,FALSE)</f>
        <v>#N/A</v>
      </c>
      <c r="H22" s="21" t="s">
        <v>871</v>
      </c>
      <c r="I22" s="21">
        <v>814602</v>
      </c>
      <c r="J22" s="21" t="s">
        <v>717</v>
      </c>
      <c r="L22" s="57">
        <v>92</v>
      </c>
      <c r="M22" s="48" t="s">
        <v>728</v>
      </c>
      <c r="N22" s="48">
        <v>20</v>
      </c>
      <c r="O22" s="22" t="s">
        <v>272</v>
      </c>
      <c r="P22" s="21" t="e" cm="1">
        <f t="array" ref="P2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#N/A</v>
      </c>
    </row>
    <row r="23" spans="1:16" ht="15" customHeight="1" x14ac:dyDescent="0.2">
      <c r="A23" s="88">
        <v>21</v>
      </c>
      <c r="B23" s="89" t="s">
        <v>724</v>
      </c>
      <c r="C23" s="89">
        <v>21</v>
      </c>
      <c r="D23" s="90" t="s">
        <v>301</v>
      </c>
      <c r="E23" s="91" t="str" cm="1">
        <f t="array" ref="E2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23" s="54" t="s">
        <v>692</v>
      </c>
      <c r="G23" s="21" t="str">
        <f>VLOOKUP(Table253[[#This Row],[Offical_ID]],Master_Roster[[Offical ID]:[Last Name]],3,FALSE)</f>
        <v>Bear</v>
      </c>
      <c r="H23" s="21" t="s">
        <v>139</v>
      </c>
      <c r="I23" s="21">
        <v>814600</v>
      </c>
      <c r="J23" s="21" t="s">
        <v>716</v>
      </c>
      <c r="L23" s="88">
        <v>93</v>
      </c>
      <c r="M23" s="89" t="s">
        <v>728</v>
      </c>
      <c r="N23" s="89">
        <v>21</v>
      </c>
      <c r="O23" s="90" t="s">
        <v>283</v>
      </c>
      <c r="P23" s="91" t="str" cm="1">
        <f t="array" ref="P2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</row>
    <row r="24" spans="1:16" ht="15" customHeight="1" x14ac:dyDescent="0.2">
      <c r="A24" s="57">
        <v>22</v>
      </c>
      <c r="B24" s="48" t="s">
        <v>724</v>
      </c>
      <c r="C24" s="48">
        <v>22</v>
      </c>
      <c r="D24" s="22" t="s">
        <v>70</v>
      </c>
      <c r="E24" s="21" t="str" cm="1">
        <f t="array" ref="E2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24" s="54" t="s">
        <v>690</v>
      </c>
      <c r="G24" s="21" t="str">
        <f>VLOOKUP(Table253[[#This Row],[Offical_ID]],Master_Roster[[Offical ID]:[Last Name]],3,FALSE)</f>
        <v>Davis</v>
      </c>
      <c r="H24" s="21" t="s">
        <v>139</v>
      </c>
      <c r="I24" s="21">
        <v>814606</v>
      </c>
      <c r="J24" s="21" t="s">
        <v>716</v>
      </c>
      <c r="L24" s="57">
        <v>94</v>
      </c>
      <c r="M24" s="48" t="s">
        <v>728</v>
      </c>
      <c r="N24" s="48">
        <v>22</v>
      </c>
      <c r="O24" s="22" t="s">
        <v>32</v>
      </c>
      <c r="P24" s="21" t="s">
        <v>892</v>
      </c>
    </row>
    <row r="25" spans="1:16" ht="15" customHeight="1" x14ac:dyDescent="0.2">
      <c r="A25" s="88">
        <v>23</v>
      </c>
      <c r="B25" s="89" t="s">
        <v>724</v>
      </c>
      <c r="C25" s="89">
        <v>23</v>
      </c>
      <c r="D25" s="90" t="s">
        <v>11</v>
      </c>
      <c r="E25" s="91" t="str" cm="1">
        <f t="array" ref="E2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25" s="54" t="s">
        <v>641</v>
      </c>
      <c r="G25" s="21" t="str">
        <f>VLOOKUP(Table253[[#This Row],[Offical_ID]],Master_Roster[[Offical ID]:[Last Name]],3,FALSE)</f>
        <v>Lono</v>
      </c>
      <c r="H25" s="21" t="s">
        <v>351</v>
      </c>
      <c r="I25" s="21">
        <v>814627</v>
      </c>
      <c r="J25" s="21" t="s">
        <v>717</v>
      </c>
      <c r="L25" s="84">
        <v>95</v>
      </c>
      <c r="M25" s="85" t="s">
        <v>728</v>
      </c>
      <c r="N25" s="85">
        <v>23</v>
      </c>
      <c r="O25" s="86" t="s">
        <v>300</v>
      </c>
      <c r="P25" s="87" t="str" cm="1">
        <f t="array" ref="P2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26" spans="1:16" ht="15" customHeight="1" x14ac:dyDescent="0.2">
      <c r="A26" s="57">
        <v>24</v>
      </c>
      <c r="B26" s="48" t="s">
        <v>724</v>
      </c>
      <c r="C26" s="48">
        <v>24</v>
      </c>
      <c r="D26" s="22" t="s">
        <v>3</v>
      </c>
      <c r="E26" s="21" t="str" cm="1">
        <f t="array" ref="E2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26" s="54" t="s">
        <v>650</v>
      </c>
      <c r="G26" s="21" t="str">
        <f>VLOOKUP(Table253[[#This Row],[Offical_ID]],Master_Roster[[Offical ID]:[Last Name]],3,FALSE)</f>
        <v>Hunter</v>
      </c>
      <c r="H26" s="21" t="s">
        <v>425</v>
      </c>
      <c r="I26" s="21">
        <v>814469</v>
      </c>
      <c r="J26" s="21" t="s">
        <v>717</v>
      </c>
      <c r="L26" s="57">
        <v>96</v>
      </c>
      <c r="M26" s="48" t="s">
        <v>728</v>
      </c>
      <c r="N26" s="48">
        <v>24</v>
      </c>
      <c r="O26" s="22" t="s">
        <v>299</v>
      </c>
      <c r="P26" s="21" t="str" cm="1">
        <f t="array" ref="P2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</row>
    <row r="27" spans="1:16" ht="15" customHeight="1" x14ac:dyDescent="0.2">
      <c r="A27" s="88">
        <v>25</v>
      </c>
      <c r="B27" s="98" t="s">
        <v>725</v>
      </c>
      <c r="C27" s="98">
        <v>1</v>
      </c>
      <c r="D27" s="90" t="s">
        <v>9</v>
      </c>
      <c r="E27" s="91" t="str" cm="1">
        <f t="array" ref="E2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27" s="54" t="s">
        <v>640</v>
      </c>
      <c r="G27" s="21" t="str">
        <f>VLOOKUP(Table253[[#This Row],[Offical_ID]],Master_Roster[[Offical ID]:[Last Name]],3,FALSE)</f>
        <v>Lamont</v>
      </c>
      <c r="H27" s="21" t="s">
        <v>321</v>
      </c>
      <c r="I27" s="21">
        <v>810862</v>
      </c>
      <c r="J27" s="21" t="s">
        <v>717</v>
      </c>
      <c r="L27" s="84">
        <v>97</v>
      </c>
      <c r="M27" s="98" t="s">
        <v>726</v>
      </c>
      <c r="N27" s="98">
        <v>1</v>
      </c>
      <c r="O27" s="86" t="s">
        <v>22</v>
      </c>
      <c r="P27" s="87" t="str" cm="1">
        <f t="array" ref="P2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28" spans="1:16" ht="15" customHeight="1" x14ac:dyDescent="0.2">
      <c r="A28" s="57">
        <v>26</v>
      </c>
      <c r="B28" s="48" t="s">
        <v>725</v>
      </c>
      <c r="C28" s="48">
        <v>2</v>
      </c>
      <c r="D28" s="22" t="s">
        <v>2</v>
      </c>
      <c r="E28" s="21" t="str" cm="1">
        <f t="array" ref="E2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28" s="54" t="s">
        <v>631</v>
      </c>
      <c r="G28" s="21" t="str">
        <f>VLOOKUP(Table253[[#This Row],[Offical_ID]],Master_Roster[[Offical ID]:[Last Name]],3,FALSE)</f>
        <v>Fata</v>
      </c>
      <c r="H28" s="21" t="s">
        <v>338</v>
      </c>
      <c r="I28" s="21">
        <v>811732</v>
      </c>
      <c r="J28" s="21" t="s">
        <v>717</v>
      </c>
      <c r="L28" s="57">
        <v>98</v>
      </c>
      <c r="M28" s="48" t="s">
        <v>726</v>
      </c>
      <c r="N28" s="48">
        <v>2</v>
      </c>
      <c r="O28" s="22" t="s">
        <v>27</v>
      </c>
      <c r="P28" s="21" t="str" cm="1">
        <f t="array" ref="P2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</row>
    <row r="29" spans="1:16" ht="15" customHeight="1" x14ac:dyDescent="0.2">
      <c r="A29" s="88">
        <v>27</v>
      </c>
      <c r="B29" s="89" t="s">
        <v>725</v>
      </c>
      <c r="C29" s="89">
        <v>3</v>
      </c>
      <c r="D29" s="90" t="s">
        <v>298</v>
      </c>
      <c r="E29" s="91" t="str" cm="1">
        <f t="array" ref="E2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29" s="54" t="s">
        <v>686</v>
      </c>
      <c r="G29" s="21" t="str">
        <f>VLOOKUP(Table253[[#This Row],[Offical_ID]],Master_Roster[[Offical ID]:[Last Name]],3,FALSE)</f>
        <v>Tre</v>
      </c>
      <c r="H29" s="21" t="s">
        <v>93</v>
      </c>
      <c r="I29" s="21">
        <v>814603</v>
      </c>
      <c r="J29" s="21" t="s">
        <v>716</v>
      </c>
      <c r="L29" s="84">
        <v>99</v>
      </c>
      <c r="M29" s="85" t="s">
        <v>726</v>
      </c>
      <c r="N29" s="85">
        <v>3</v>
      </c>
      <c r="O29" s="86" t="s">
        <v>20</v>
      </c>
      <c r="P29" s="87" t="str" cm="1">
        <f t="array" ref="P2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30" spans="1:16" ht="15" customHeight="1" x14ac:dyDescent="0.2">
      <c r="A30" s="57">
        <v>28</v>
      </c>
      <c r="B30" s="48" t="s">
        <v>725</v>
      </c>
      <c r="C30" s="48">
        <v>4</v>
      </c>
      <c r="D30" s="22" t="s">
        <v>19</v>
      </c>
      <c r="E30" s="21" t="str" cm="1">
        <f t="array" ref="E3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30" s="54" t="s">
        <v>687</v>
      </c>
      <c r="G30" s="21" t="str">
        <f>VLOOKUP(Table253[[#This Row],[Offical_ID]],Master_Roster[[Offical ID]:[Last Name]],3,FALSE)</f>
        <v>Jaxon</v>
      </c>
      <c r="H30" s="21" t="s">
        <v>93</v>
      </c>
      <c r="I30" s="21">
        <v>811740</v>
      </c>
      <c r="J30" s="21" t="s">
        <v>716</v>
      </c>
      <c r="L30" s="57">
        <v>100</v>
      </c>
      <c r="M30" s="48" t="s">
        <v>726</v>
      </c>
      <c r="N30" s="48">
        <v>4</v>
      </c>
      <c r="O30" s="22" t="s">
        <v>17</v>
      </c>
      <c r="P30" s="21" t="str" cm="1">
        <f t="array" ref="P3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31" spans="1:16" ht="15" customHeight="1" x14ac:dyDescent="0.2">
      <c r="A31" s="88">
        <v>29</v>
      </c>
      <c r="B31" s="89" t="s">
        <v>725</v>
      </c>
      <c r="C31" s="89">
        <v>5</v>
      </c>
      <c r="D31" s="90" t="s">
        <v>279</v>
      </c>
      <c r="E31" s="91" t="str" cm="1">
        <f t="array" ref="E3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31" s="54" t="s">
        <v>630</v>
      </c>
      <c r="G31" s="21" t="str">
        <f>VLOOKUP(Table253[[#This Row],[Offical_ID]],Master_Roster[[Offical ID]:[Last Name]],3,FALSE)</f>
        <v>Tye</v>
      </c>
      <c r="H31" s="21" t="s">
        <v>93</v>
      </c>
      <c r="I31" s="21">
        <v>814342</v>
      </c>
      <c r="J31" s="21" t="s">
        <v>716</v>
      </c>
      <c r="L31" s="88">
        <v>101</v>
      </c>
      <c r="M31" s="89" t="s">
        <v>726</v>
      </c>
      <c r="N31" s="89">
        <v>5</v>
      </c>
      <c r="O31" s="90" t="s">
        <v>8</v>
      </c>
      <c r="P31" s="91" t="str" cm="1">
        <f t="array" ref="P3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32" spans="1:16" ht="15" customHeight="1" x14ac:dyDescent="0.2">
      <c r="A32" s="57">
        <v>30</v>
      </c>
      <c r="B32" s="48" t="s">
        <v>725</v>
      </c>
      <c r="C32" s="48">
        <v>6</v>
      </c>
      <c r="D32" s="22" t="s">
        <v>291</v>
      </c>
      <c r="E32" s="21" t="str" cm="1">
        <f t="array" ref="E3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32" s="54" t="s">
        <v>661</v>
      </c>
      <c r="G32" s="21" t="str">
        <f>VLOOKUP(Table253[[#This Row],[Offical_ID]],Master_Roster[[Offical ID]:[Last Name]],3,FALSE)</f>
        <v>Joseph</v>
      </c>
      <c r="H32" s="21" t="s">
        <v>205</v>
      </c>
      <c r="I32" s="21">
        <v>814327</v>
      </c>
      <c r="J32" s="21" t="s">
        <v>716</v>
      </c>
      <c r="L32" s="57">
        <v>102</v>
      </c>
      <c r="M32" s="48" t="s">
        <v>726</v>
      </c>
      <c r="N32" s="48">
        <v>6</v>
      </c>
      <c r="O32" s="22" t="s">
        <v>270</v>
      </c>
      <c r="P32" s="21" t="str" cm="1">
        <f t="array" ref="P3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</row>
    <row r="33" spans="1:16" ht="15" customHeight="1" x14ac:dyDescent="0.2">
      <c r="A33" s="84">
        <v>31</v>
      </c>
      <c r="B33" s="85" t="s">
        <v>725</v>
      </c>
      <c r="C33" s="85">
        <v>7</v>
      </c>
      <c r="D33" s="86" t="s">
        <v>51</v>
      </c>
      <c r="E33" s="87" t="str" cm="1">
        <f t="array" ref="E3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33" s="54" t="s">
        <v>663</v>
      </c>
      <c r="G33" s="21" t="str">
        <f>VLOOKUP(Table253[[#This Row],[Offical_ID]],Master_Roster[[Offical ID]:[Last Name]],3,FALSE)</f>
        <v>Elijah</v>
      </c>
      <c r="H33" s="21" t="s">
        <v>205</v>
      </c>
      <c r="I33" s="21">
        <v>814613</v>
      </c>
      <c r="J33" s="21" t="s">
        <v>716</v>
      </c>
      <c r="L33" s="88">
        <v>103</v>
      </c>
      <c r="M33" s="89" t="s">
        <v>726</v>
      </c>
      <c r="N33" s="89">
        <v>7</v>
      </c>
      <c r="O33" s="90" t="s">
        <v>31</v>
      </c>
      <c r="P33" s="91" t="str" cm="1">
        <f t="array" ref="P3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</row>
    <row r="34" spans="1:16" ht="15" customHeight="1" x14ac:dyDescent="0.2">
      <c r="A34" s="57">
        <v>32</v>
      </c>
      <c r="B34" s="48" t="s">
        <v>725</v>
      </c>
      <c r="C34" s="48">
        <v>8</v>
      </c>
      <c r="D34" s="22" t="s">
        <v>293</v>
      </c>
      <c r="E34" s="21" t="str" cm="1">
        <f t="array" ref="E3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34" s="54" t="s">
        <v>669</v>
      </c>
      <c r="G34" s="21" t="str">
        <f>VLOOKUP(Table253[[#This Row],[Offical_ID]],Master_Roster[[Offical ID]:[Last Name]],3,FALSE)</f>
        <v>Graysen</v>
      </c>
      <c r="H34" s="21" t="s">
        <v>205</v>
      </c>
      <c r="I34" s="21">
        <v>814451</v>
      </c>
      <c r="J34" s="21" t="s">
        <v>716</v>
      </c>
      <c r="L34" s="57">
        <v>104</v>
      </c>
      <c r="M34" s="48" t="s">
        <v>726</v>
      </c>
      <c r="N34" s="48">
        <v>8</v>
      </c>
      <c r="O34" s="22" t="s">
        <v>41</v>
      </c>
      <c r="P34" s="21" t="str" cm="1">
        <f t="array" ref="P3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</row>
    <row r="35" spans="1:16" ht="15" customHeight="1" x14ac:dyDescent="0.2">
      <c r="A35" s="88">
        <v>33</v>
      </c>
      <c r="B35" s="89" t="s">
        <v>725</v>
      </c>
      <c r="C35" s="89">
        <v>9</v>
      </c>
      <c r="D35" s="90" t="s">
        <v>294</v>
      </c>
      <c r="E35" s="91" t="str" cm="1">
        <f t="array" ref="E3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35" s="54" t="s">
        <v>676</v>
      </c>
      <c r="G35" s="21" t="str">
        <f>VLOOKUP(Table253[[#This Row],[Offical_ID]],Master_Roster[[Offical ID]:[Last Name]],3,FALSE)</f>
        <v>Jaxon</v>
      </c>
      <c r="H35" s="21" t="s">
        <v>205</v>
      </c>
      <c r="I35" s="21">
        <v>814452</v>
      </c>
      <c r="J35" s="21" t="s">
        <v>716</v>
      </c>
      <c r="L35" s="88">
        <v>105</v>
      </c>
      <c r="M35" s="89" t="s">
        <v>726</v>
      </c>
      <c r="N35" s="89">
        <v>9</v>
      </c>
      <c r="O35" s="90" t="s">
        <v>16</v>
      </c>
      <c r="P35" s="91" t="str" cm="1">
        <f t="array" ref="P3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</row>
    <row r="36" spans="1:16" ht="15" customHeight="1" x14ac:dyDescent="0.2">
      <c r="A36" s="57">
        <v>34</v>
      </c>
      <c r="B36" s="48" t="s">
        <v>725</v>
      </c>
      <c r="C36" s="48">
        <v>10</v>
      </c>
      <c r="D36" s="22" t="s">
        <v>275</v>
      </c>
      <c r="E36" s="21" t="str" cm="1">
        <f t="array" ref="E3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36" s="54" t="s">
        <v>615</v>
      </c>
      <c r="G36" s="21" t="str">
        <f>VLOOKUP(Table253[[#This Row],[Offical_ID]],Master_Roster[[Offical ID]:[Last Name]],3,FALSE)</f>
        <v>Jamal</v>
      </c>
      <c r="H36" s="21" t="s">
        <v>351</v>
      </c>
      <c r="I36" s="21">
        <v>814346</v>
      </c>
      <c r="J36" s="21" t="s">
        <v>717</v>
      </c>
      <c r="L36" s="57">
        <v>106</v>
      </c>
      <c r="M36" s="48" t="s">
        <v>726</v>
      </c>
      <c r="N36" s="48">
        <v>10</v>
      </c>
      <c r="O36" s="22" t="s">
        <v>15</v>
      </c>
      <c r="P36" s="21" t="str" cm="1">
        <f t="array" ref="P3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37" spans="1:16" ht="15" customHeight="1" x14ac:dyDescent="0.2">
      <c r="A37" s="88">
        <v>35</v>
      </c>
      <c r="B37" s="89" t="s">
        <v>725</v>
      </c>
      <c r="C37" s="89">
        <v>11</v>
      </c>
      <c r="D37" s="90" t="s">
        <v>35</v>
      </c>
      <c r="E37" s="91" t="str" cm="1">
        <f t="array" ref="E3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37" s="54" t="s">
        <v>689</v>
      </c>
      <c r="G37" s="21" t="str">
        <f>VLOOKUP(Table253[[#This Row],[Offical_ID]],Master_Roster[[Offical ID]:[Last Name]],3,FALSE)</f>
        <v>Elijah</v>
      </c>
      <c r="H37" s="21" t="s">
        <v>139</v>
      </c>
      <c r="I37" s="21">
        <v>814605</v>
      </c>
      <c r="J37" s="21" t="s">
        <v>716</v>
      </c>
      <c r="L37" s="88">
        <v>107</v>
      </c>
      <c r="M37" s="89" t="s">
        <v>726</v>
      </c>
      <c r="N37" s="89">
        <v>11</v>
      </c>
      <c r="O37" s="90" t="s">
        <v>364</v>
      </c>
      <c r="P37" s="91" t="str" cm="1">
        <f t="array" ref="P3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</row>
    <row r="38" spans="1:16" ht="15" customHeight="1" x14ac:dyDescent="0.2">
      <c r="A38" s="57">
        <v>36</v>
      </c>
      <c r="B38" s="48" t="s">
        <v>725</v>
      </c>
      <c r="C38" s="48">
        <v>12</v>
      </c>
      <c r="D38" s="22" t="s">
        <v>5</v>
      </c>
      <c r="E38" s="21" t="str" cm="1">
        <f t="array" ref="E3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38" s="54" t="s">
        <v>618</v>
      </c>
      <c r="G38" s="21" t="str">
        <f>VLOOKUP(Table253[[#This Row],[Offical_ID]],Master_Roster[[Offical ID]:[Last Name]],3,FALSE)</f>
        <v>Onterrio</v>
      </c>
      <c r="H38" s="21" t="s">
        <v>93</v>
      </c>
      <c r="I38" s="21">
        <v>811517</v>
      </c>
      <c r="J38" s="21" t="s">
        <v>716</v>
      </c>
      <c r="L38" s="57">
        <v>108</v>
      </c>
      <c r="M38" s="48" t="s">
        <v>726</v>
      </c>
      <c r="N38" s="48">
        <v>12</v>
      </c>
      <c r="O38" s="22" t="s">
        <v>30</v>
      </c>
      <c r="P38" s="21" t="str" cm="1">
        <f t="array" ref="P3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39" spans="1:16" ht="15" customHeight="1" x14ac:dyDescent="0.2">
      <c r="A39" s="78">
        <v>37</v>
      </c>
      <c r="B39" s="79" t="s">
        <v>725</v>
      </c>
      <c r="C39" s="79">
        <v>13</v>
      </c>
      <c r="D39" s="80" t="s">
        <v>940</v>
      </c>
      <c r="E39" s="81" t="str" cm="1">
        <f t="array" ref="E3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Spec</v>
      </c>
      <c r="F39" s="54" t="s">
        <v>695</v>
      </c>
      <c r="G39" s="21" t="str">
        <f>VLOOKUP(Table253[[#This Row],[Offical_ID]],Master_Roster[[Offical ID]:[Last Name]],3,FALSE)</f>
        <v>Cal</v>
      </c>
      <c r="H39" s="21" t="s">
        <v>262</v>
      </c>
      <c r="I39" s="21" t="s">
        <v>709</v>
      </c>
      <c r="J39" s="21"/>
      <c r="L39" s="88">
        <v>109</v>
      </c>
      <c r="M39" s="89" t="s">
        <v>726</v>
      </c>
      <c r="N39" s="89">
        <v>13</v>
      </c>
      <c r="O39" s="90" t="s">
        <v>34</v>
      </c>
      <c r="P39" s="91" t="s">
        <v>894</v>
      </c>
    </row>
    <row r="40" spans="1:16" ht="15" customHeight="1" x14ac:dyDescent="0.2">
      <c r="A40" s="78">
        <v>38</v>
      </c>
      <c r="B40" s="79" t="s">
        <v>725</v>
      </c>
      <c r="C40" s="79">
        <v>14</v>
      </c>
      <c r="D40" s="80" t="s">
        <v>39</v>
      </c>
      <c r="E40" s="81" t="str" cm="1">
        <f t="array" ref="E4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40" s="54" t="s">
        <v>604</v>
      </c>
      <c r="G40" s="21" t="str">
        <f>VLOOKUP(Table253[[#This Row],[Offical_ID]],Master_Roster[[Offical ID]:[Last Name]],3,FALSE)</f>
        <v>Jaden</v>
      </c>
      <c r="H40" s="21" t="s">
        <v>99</v>
      </c>
      <c r="I40" s="21">
        <v>811522</v>
      </c>
      <c r="J40" s="21" t="s">
        <v>716</v>
      </c>
      <c r="L40" s="92">
        <v>110</v>
      </c>
      <c r="M40" s="68" t="s">
        <v>726</v>
      </c>
      <c r="N40" s="68">
        <v>14</v>
      </c>
      <c r="O40" s="26" t="s">
        <v>578</v>
      </c>
      <c r="P40" s="25" t="str" cm="1">
        <f t="array" ref="P4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</row>
    <row r="41" spans="1:16" ht="15" customHeight="1" x14ac:dyDescent="0.2">
      <c r="A41" s="78">
        <v>39</v>
      </c>
      <c r="B41" s="79" t="s">
        <v>725</v>
      </c>
      <c r="C41" s="79">
        <v>15</v>
      </c>
      <c r="D41" s="80" t="s">
        <v>197</v>
      </c>
      <c r="E41" s="81" t="str" cm="1">
        <f t="array" ref="E4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Spec</v>
      </c>
      <c r="F41" s="54" t="s">
        <v>699</v>
      </c>
      <c r="G41" s="21" t="str">
        <f>VLOOKUP(Table253[[#This Row],[Offical_ID]],Master_Roster[[Offical ID]:[Last Name]],3,FALSE)</f>
        <v>Joseph</v>
      </c>
      <c r="H41" s="21" t="s">
        <v>202</v>
      </c>
      <c r="I41" s="21" t="s">
        <v>709</v>
      </c>
      <c r="J41" s="21"/>
      <c r="L41" s="92"/>
      <c r="M41" s="89" t="s">
        <v>726</v>
      </c>
      <c r="N41" s="89">
        <v>15</v>
      </c>
      <c r="O41" s="90" t="s">
        <v>893</v>
      </c>
      <c r="P41" s="25" t="s">
        <v>894</v>
      </c>
    </row>
    <row r="42" spans="1:16" ht="15" customHeight="1" x14ac:dyDescent="0.2">
      <c r="A42" s="78">
        <v>40</v>
      </c>
      <c r="B42" s="79" t="s">
        <v>725</v>
      </c>
      <c r="C42" s="79">
        <v>16</v>
      </c>
      <c r="D42" s="80" t="s">
        <v>269</v>
      </c>
      <c r="E42" s="81" t="str" cm="1">
        <f t="array" ref="E4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Spec</v>
      </c>
      <c r="F42" s="54" t="s">
        <v>658</v>
      </c>
      <c r="G42" s="21" t="str">
        <f>VLOOKUP(Table253[[#This Row],[Offical_ID]],Master_Roster[[Offical ID]:[Last Name]],3,FALSE)</f>
        <v>Adam</v>
      </c>
      <c r="H42" s="21" t="s">
        <v>188</v>
      </c>
      <c r="I42" s="21" t="s">
        <v>709</v>
      </c>
      <c r="J42" s="21"/>
      <c r="L42" s="93"/>
      <c r="M42" s="94"/>
      <c r="N42" s="94"/>
      <c r="O42" s="95"/>
      <c r="P42" s="96"/>
    </row>
    <row r="43" spans="1:16" ht="15" customHeight="1" x14ac:dyDescent="0.2">
      <c r="A43" s="78">
        <v>41</v>
      </c>
      <c r="B43" s="79" t="s">
        <v>725</v>
      </c>
      <c r="C43" s="79">
        <v>17</v>
      </c>
      <c r="D43" s="80" t="s">
        <v>40</v>
      </c>
      <c r="E43" s="81" t="str" cm="1">
        <f t="array" ref="E4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Spec</v>
      </c>
      <c r="F43" s="54" t="s">
        <v>670</v>
      </c>
      <c r="G43" s="21" t="str">
        <f>VLOOKUP(Table253[[#This Row],[Offical_ID]],Master_Roster[[Offical ID]:[Last Name]],3,FALSE)</f>
        <v>Mike</v>
      </c>
      <c r="H43" s="21" t="s">
        <v>262</v>
      </c>
      <c r="I43" s="21" t="s">
        <v>709</v>
      </c>
      <c r="J43" s="21"/>
      <c r="L43" s="97"/>
      <c r="M43" s="83"/>
      <c r="N43" s="83"/>
      <c r="O43" s="42"/>
      <c r="P43" s="23"/>
    </row>
    <row r="44" spans="1:16" ht="15" customHeight="1" x14ac:dyDescent="0.2">
      <c r="A44" s="57">
        <v>42</v>
      </c>
      <c r="B44" s="48" t="s">
        <v>725</v>
      </c>
      <c r="C44" s="48">
        <v>18</v>
      </c>
      <c r="D44" s="22" t="s">
        <v>66</v>
      </c>
      <c r="E44" s="21" t="str" cm="1">
        <f t="array" ref="E4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44" s="54" t="s">
        <v>662</v>
      </c>
      <c r="G44" s="21" t="str">
        <f>VLOOKUP(Table253[[#This Row],[Offical_ID]],Master_Roster[[Offical ID]:[Last Name]],3,FALSE)</f>
        <v>Dean</v>
      </c>
      <c r="H44" s="21" t="s">
        <v>205</v>
      </c>
      <c r="I44" s="21">
        <v>814614</v>
      </c>
      <c r="J44" s="21" t="s">
        <v>716</v>
      </c>
      <c r="L44" s="93"/>
      <c r="M44" s="94"/>
      <c r="N44" s="94"/>
      <c r="O44" s="95"/>
      <c r="P44" s="96"/>
    </row>
    <row r="45" spans="1:16" ht="15" customHeight="1" x14ac:dyDescent="0.2">
      <c r="A45" s="88">
        <v>43</v>
      </c>
      <c r="B45" s="89" t="s">
        <v>725</v>
      </c>
      <c r="C45" s="89">
        <v>19</v>
      </c>
      <c r="D45" s="90" t="s">
        <v>56</v>
      </c>
      <c r="E45" s="91" t="str" cm="1">
        <f t="array" ref="E4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45" s="54" t="s">
        <v>678</v>
      </c>
      <c r="G45" s="21" t="str">
        <f>VLOOKUP(Table253[[#This Row],[Offical_ID]],Master_Roster[[Offical ID]:[Last Name]],3,FALSE)</f>
        <v>Sawyer</v>
      </c>
      <c r="H45" s="21" t="s">
        <v>205</v>
      </c>
      <c r="I45" s="21">
        <v>811512</v>
      </c>
      <c r="J45" s="21" t="s">
        <v>716</v>
      </c>
      <c r="L45" s="97"/>
      <c r="M45" s="83"/>
      <c r="N45" s="83"/>
      <c r="O45" s="42"/>
      <c r="P45" s="23"/>
    </row>
    <row r="46" spans="1:16" ht="15" customHeight="1" x14ac:dyDescent="0.2">
      <c r="A46" s="57">
        <v>44</v>
      </c>
      <c r="B46" s="48" t="s">
        <v>725</v>
      </c>
      <c r="C46" s="48">
        <v>20</v>
      </c>
      <c r="D46" s="22" t="s">
        <v>297</v>
      </c>
      <c r="E46" s="21" t="str" cm="1">
        <f t="array" ref="E4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46" s="54" t="s">
        <v>684</v>
      </c>
      <c r="G46" s="21" t="str">
        <f>VLOOKUP(Table253[[#This Row],[Offical_ID]],Master_Roster[[Offical ID]:[Last Name]],3,FALSE)</f>
        <v>Jordan</v>
      </c>
      <c r="H46" s="21" t="s">
        <v>205</v>
      </c>
      <c r="I46" s="21">
        <v>814448</v>
      </c>
      <c r="J46" s="21" t="s">
        <v>716</v>
      </c>
      <c r="L46" s="93"/>
      <c r="M46" s="94"/>
      <c r="N46" s="94"/>
      <c r="O46" s="95"/>
      <c r="P46" s="96"/>
    </row>
    <row r="47" spans="1:16" ht="15" customHeight="1" x14ac:dyDescent="0.2">
      <c r="A47" s="88">
        <v>45</v>
      </c>
      <c r="B47" s="89" t="s">
        <v>725</v>
      </c>
      <c r="C47" s="89">
        <v>21</v>
      </c>
      <c r="D47" s="90" t="s">
        <v>49</v>
      </c>
      <c r="E47" s="91" t="str" cm="1">
        <f t="array" ref="E4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47" s="54" t="s">
        <v>671</v>
      </c>
      <c r="G47" s="21" t="str">
        <f>VLOOKUP(Table253[[#This Row],[Offical_ID]],Master_Roster[[Offical ID]:[Last Name]],3,FALSE)</f>
        <v>Brandon</v>
      </c>
      <c r="H47" s="21" t="s">
        <v>205</v>
      </c>
      <c r="I47" s="21">
        <v>814609</v>
      </c>
      <c r="J47" s="21" t="s">
        <v>716</v>
      </c>
      <c r="L47" s="97"/>
      <c r="M47" s="83"/>
      <c r="N47" s="83"/>
      <c r="O47" s="42"/>
      <c r="P47" s="23"/>
    </row>
    <row r="48" spans="1:16" ht="15" customHeight="1" x14ac:dyDescent="0.2">
      <c r="A48" s="57">
        <v>46</v>
      </c>
      <c r="B48" s="48" t="s">
        <v>725</v>
      </c>
      <c r="C48" s="48">
        <v>22</v>
      </c>
      <c r="D48" s="22" t="s">
        <v>54</v>
      </c>
      <c r="E48" s="21" t="str" cm="1">
        <f t="array" ref="E4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48" s="54" t="s">
        <v>677</v>
      </c>
      <c r="G48" s="21" t="str">
        <f>VLOOKUP(Table253[[#This Row],[Offical_ID]],Master_Roster[[Offical ID]:[Last Name]],3,FALSE)</f>
        <v>Bryson</v>
      </c>
      <c r="H48" s="21" t="s">
        <v>205</v>
      </c>
      <c r="I48" s="21">
        <v>814594</v>
      </c>
      <c r="J48" s="21" t="s">
        <v>716</v>
      </c>
      <c r="L48" s="93"/>
      <c r="M48" s="94"/>
      <c r="N48" s="94"/>
      <c r="O48" s="95"/>
      <c r="P48" s="96"/>
    </row>
    <row r="49" spans="1:16" ht="15" customHeight="1" x14ac:dyDescent="0.2">
      <c r="A49" s="88">
        <v>47</v>
      </c>
      <c r="B49" s="89" t="s">
        <v>725</v>
      </c>
      <c r="C49" s="89">
        <v>23</v>
      </c>
      <c r="D49" s="90" t="s">
        <v>295</v>
      </c>
      <c r="E49" s="91" t="str" cm="1">
        <f t="array" ref="E4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49" s="54" t="s">
        <v>681</v>
      </c>
      <c r="G49" s="21" t="str">
        <f>VLOOKUP(Table253[[#This Row],[Offical_ID]],Master_Roster[[Offical ID]:[Last Name]],3,FALSE)</f>
        <v>DeAnthony</v>
      </c>
      <c r="H49" s="21" t="s">
        <v>205</v>
      </c>
      <c r="I49" s="21">
        <v>814629</v>
      </c>
      <c r="J49" s="21" t="s">
        <v>716</v>
      </c>
      <c r="L49" s="97"/>
      <c r="M49" s="83"/>
      <c r="N49" s="83"/>
      <c r="O49" s="42"/>
      <c r="P49" s="23"/>
    </row>
    <row r="50" spans="1:16" ht="15" customHeight="1" x14ac:dyDescent="0.2">
      <c r="A50" s="57">
        <v>48</v>
      </c>
      <c r="B50" s="48" t="s">
        <v>725</v>
      </c>
      <c r="C50" s="48">
        <v>24</v>
      </c>
      <c r="D50" s="22" t="s">
        <v>63</v>
      </c>
      <c r="E50" s="21" t="str" cm="1">
        <f t="array" ref="E5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50" s="54" t="s">
        <v>672</v>
      </c>
      <c r="G50" s="21" t="str">
        <f>VLOOKUP(Table253[[#This Row],[Offical_ID]],Master_Roster[[Offical ID]:[Last Name]],3,FALSE)</f>
        <v>Cade</v>
      </c>
      <c r="H50" s="21" t="s">
        <v>205</v>
      </c>
      <c r="I50" s="21">
        <v>811527</v>
      </c>
      <c r="J50" s="21" t="s">
        <v>716</v>
      </c>
      <c r="L50" s="93"/>
      <c r="M50" s="94"/>
      <c r="N50" s="94"/>
      <c r="O50" s="95"/>
      <c r="P50" s="96"/>
    </row>
    <row r="51" spans="1:16" ht="15" customHeight="1" x14ac:dyDescent="0.2">
      <c r="A51" s="88">
        <v>49</v>
      </c>
      <c r="B51" s="98" t="s">
        <v>727</v>
      </c>
      <c r="C51" s="98">
        <v>1</v>
      </c>
      <c r="D51" s="90" t="s">
        <v>53</v>
      </c>
      <c r="E51" s="91" t="str" cm="1">
        <f t="array" ref="E5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51" s="54" t="s">
        <v>668</v>
      </c>
      <c r="G51" s="21" t="str">
        <f>VLOOKUP(Table253[[#This Row],[Offical_ID]],Master_Roster[[Offical ID]:[Last Name]],3,FALSE)</f>
        <v>Kenndel</v>
      </c>
      <c r="H51" s="21" t="s">
        <v>205</v>
      </c>
      <c r="I51" s="21">
        <v>814610</v>
      </c>
      <c r="J51" s="21" t="s">
        <v>716</v>
      </c>
      <c r="L51" s="97"/>
      <c r="M51" s="83"/>
      <c r="N51" s="83"/>
      <c r="O51" s="42"/>
      <c r="P51" s="23"/>
    </row>
    <row r="52" spans="1:16" ht="15" customHeight="1" x14ac:dyDescent="0.2">
      <c r="A52" s="57">
        <v>50</v>
      </c>
      <c r="B52" s="48" t="s">
        <v>727</v>
      </c>
      <c r="C52" s="48">
        <v>2</v>
      </c>
      <c r="D52" s="22" t="s">
        <v>52</v>
      </c>
      <c r="E52" s="21" t="str" cm="1">
        <f t="array" ref="E5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52" s="54" t="s">
        <v>683</v>
      </c>
      <c r="G52" s="21" t="str">
        <f>VLOOKUP(Table253[[#This Row],[Offical_ID]],Master_Roster[[Offical ID]:[Last Name]],3,FALSE)</f>
        <v>Richard</v>
      </c>
      <c r="H52" s="21" t="s">
        <v>205</v>
      </c>
      <c r="I52" s="21">
        <v>814596</v>
      </c>
      <c r="J52" s="21" t="s">
        <v>716</v>
      </c>
      <c r="L52" s="93"/>
      <c r="M52" s="94"/>
      <c r="N52" s="94"/>
      <c r="O52" s="95"/>
      <c r="P52" s="96"/>
    </row>
    <row r="53" spans="1:16" ht="15" customHeight="1" x14ac:dyDescent="0.2">
      <c r="A53" s="88">
        <v>51</v>
      </c>
      <c r="B53" s="89" t="s">
        <v>727</v>
      </c>
      <c r="C53" s="89">
        <v>3</v>
      </c>
      <c r="D53" s="90" t="s">
        <v>64</v>
      </c>
      <c r="E53" s="91" t="str" cm="1">
        <f t="array" ref="E5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53" s="54" t="s">
        <v>679</v>
      </c>
      <c r="G53" s="21" t="str">
        <f>VLOOKUP(Table253[[#This Row],[Offical_ID]],Master_Roster[[Offical ID]:[Last Name]],3,FALSE)</f>
        <v>Jose</v>
      </c>
      <c r="H53" s="21" t="s">
        <v>205</v>
      </c>
      <c r="I53" s="21">
        <v>811530</v>
      </c>
      <c r="J53" s="21" t="s">
        <v>716</v>
      </c>
      <c r="L53" s="97"/>
      <c r="M53" s="83"/>
      <c r="N53" s="83"/>
      <c r="O53" s="42"/>
      <c r="P53" s="23"/>
    </row>
    <row r="54" spans="1:16" ht="15" customHeight="1" x14ac:dyDescent="0.2">
      <c r="A54" s="57">
        <v>52</v>
      </c>
      <c r="B54" s="48" t="s">
        <v>727</v>
      </c>
      <c r="C54" s="48">
        <v>4</v>
      </c>
      <c r="D54" s="22" t="s">
        <v>55</v>
      </c>
      <c r="E54" s="21" t="str" cm="1">
        <f t="array" ref="E5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54" s="54" t="s">
        <v>680</v>
      </c>
      <c r="G54" s="21" t="str">
        <f>VLOOKUP(Table253[[#This Row],[Offical_ID]],Master_Roster[[Offical ID]:[Last Name]],3,FALSE)</f>
        <v>Aidan</v>
      </c>
      <c r="H54" s="21" t="s">
        <v>205</v>
      </c>
      <c r="I54" s="21">
        <v>811526</v>
      </c>
      <c r="J54" s="21" t="s">
        <v>716</v>
      </c>
      <c r="L54" s="93"/>
      <c r="M54" s="94"/>
      <c r="N54" s="94"/>
      <c r="O54" s="95"/>
      <c r="P54" s="96"/>
    </row>
    <row r="55" spans="1:16" ht="15" customHeight="1" x14ac:dyDescent="0.2">
      <c r="A55" s="88">
        <v>53</v>
      </c>
      <c r="B55" s="89" t="s">
        <v>727</v>
      </c>
      <c r="C55" s="89">
        <v>5</v>
      </c>
      <c r="D55" s="90" t="s">
        <v>280</v>
      </c>
      <c r="E55" s="91" t="str" cm="1">
        <f t="array" ref="E5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55" s="54" t="s">
        <v>633</v>
      </c>
      <c r="G55" s="21" t="str">
        <f>VLOOKUP(Table253[[#This Row],[Offical_ID]],Master_Roster[[Offical ID]:[Last Name]],3,FALSE)</f>
        <v>Logan</v>
      </c>
      <c r="H55" s="21" t="s">
        <v>139</v>
      </c>
      <c r="I55" s="21">
        <v>811521</v>
      </c>
      <c r="J55" s="21" t="s">
        <v>716</v>
      </c>
      <c r="L55" s="97"/>
      <c r="M55" s="83"/>
      <c r="N55" s="83"/>
      <c r="O55" s="42"/>
      <c r="P55" s="23"/>
    </row>
    <row r="56" spans="1:16" ht="15" customHeight="1" x14ac:dyDescent="0.2">
      <c r="A56" s="57">
        <v>54</v>
      </c>
      <c r="B56" s="48" t="s">
        <v>727</v>
      </c>
      <c r="C56" s="48">
        <v>6</v>
      </c>
      <c r="D56" s="22" t="s">
        <v>44</v>
      </c>
      <c r="E56" s="21" t="str" cm="1">
        <f t="array" ref="E5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56" s="54" t="s">
        <v>627</v>
      </c>
      <c r="G56" s="21" t="str">
        <f>VLOOKUP(Table253[[#This Row],[Offical_ID]],Master_Roster[[Offical ID]:[Last Name]],3,FALSE)</f>
        <v>Jordan</v>
      </c>
      <c r="H56" s="21" t="s">
        <v>139</v>
      </c>
      <c r="I56" s="23">
        <v>811519</v>
      </c>
      <c r="J56" s="21" t="s">
        <v>716</v>
      </c>
      <c r="L56" s="93"/>
      <c r="M56" s="94"/>
      <c r="N56" s="94"/>
      <c r="O56" s="95"/>
      <c r="P56" s="96"/>
    </row>
    <row r="57" spans="1:16" ht="15" customHeight="1" x14ac:dyDescent="0.2">
      <c r="A57" s="88">
        <v>55</v>
      </c>
      <c r="B57" s="89" t="s">
        <v>727</v>
      </c>
      <c r="C57" s="89">
        <v>7</v>
      </c>
      <c r="D57" s="90" t="s">
        <v>58</v>
      </c>
      <c r="E57" s="91" t="str" cm="1">
        <f t="array" ref="E5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57" s="54" t="s">
        <v>598</v>
      </c>
      <c r="G57" s="21" t="str">
        <f>VLOOKUP(Table253[[#This Row],[Offical_ID]],Master_Roster[[Offical ID]:[Last Name]],3,FALSE)</f>
        <v>Deven</v>
      </c>
      <c r="H57" s="21" t="s">
        <v>338</v>
      </c>
      <c r="I57" s="21">
        <v>811528</v>
      </c>
      <c r="J57" s="21" t="s">
        <v>717</v>
      </c>
      <c r="L57" s="97"/>
      <c r="M57" s="83"/>
      <c r="N57" s="83"/>
      <c r="O57" s="42"/>
      <c r="P57" s="23"/>
    </row>
    <row r="58" spans="1:16" ht="15" customHeight="1" x14ac:dyDescent="0.2">
      <c r="A58" s="57">
        <v>56</v>
      </c>
      <c r="B58" s="48" t="s">
        <v>727</v>
      </c>
      <c r="C58" s="48">
        <v>8</v>
      </c>
      <c r="D58" s="22" t="s">
        <v>296</v>
      </c>
      <c r="E58" s="21" t="str" cm="1">
        <f t="array" ref="E5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58" s="54" t="s">
        <v>657</v>
      </c>
      <c r="G58" s="21" t="str">
        <f>VLOOKUP(Table253[[#This Row],[Offical_ID]],Master_Roster[[Offical ID]:[Last Name]],3,FALSE)</f>
        <v>Xavier</v>
      </c>
      <c r="H58" s="21" t="s">
        <v>88</v>
      </c>
      <c r="I58" s="21">
        <v>811718</v>
      </c>
      <c r="J58" s="21" t="s">
        <v>717</v>
      </c>
      <c r="L58" s="93"/>
      <c r="M58" s="94"/>
      <c r="N58" s="94"/>
      <c r="O58" s="95"/>
      <c r="P58" s="96"/>
    </row>
    <row r="59" spans="1:16" ht="15" customHeight="1" x14ac:dyDescent="0.2">
      <c r="A59" s="88">
        <v>57</v>
      </c>
      <c r="B59" s="89" t="s">
        <v>727</v>
      </c>
      <c r="C59" s="89">
        <v>9</v>
      </c>
      <c r="D59" s="90" t="s">
        <v>1</v>
      </c>
      <c r="E59" s="91" t="s">
        <v>732</v>
      </c>
      <c r="F59" s="54" t="s">
        <v>675</v>
      </c>
      <c r="G59" s="21" t="str">
        <f>VLOOKUP(Table253[[#This Row],[Offical_ID]],Master_Roster[[Offical ID]:[Last Name]],3,FALSE)</f>
        <v>Davis</v>
      </c>
      <c r="H59" s="21" t="s">
        <v>205</v>
      </c>
      <c r="I59" s="21">
        <v>814606</v>
      </c>
      <c r="J59" s="21" t="s">
        <v>716</v>
      </c>
      <c r="L59" s="97"/>
      <c r="M59" s="83"/>
      <c r="N59" s="83"/>
      <c r="O59" s="42"/>
      <c r="P59" s="23"/>
    </row>
    <row r="60" spans="1:16" ht="15" customHeight="1" x14ac:dyDescent="0.2">
      <c r="A60" s="57">
        <v>58</v>
      </c>
      <c r="B60" s="48" t="s">
        <v>727</v>
      </c>
      <c r="C60" s="48">
        <v>10</v>
      </c>
      <c r="D60" s="22" t="s">
        <v>57</v>
      </c>
      <c r="E60" s="21" t="str" cm="1">
        <f t="array" ref="E6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60" s="54" t="s">
        <v>632</v>
      </c>
      <c r="G60" s="21" t="str">
        <f>VLOOKUP(Table253[[#This Row],[Offical_ID]],Master_Roster[[Offical ID]:[Last Name]],3,FALSE)</f>
        <v>Josh</v>
      </c>
      <c r="H60" s="21" t="s">
        <v>338</v>
      </c>
      <c r="I60" s="21">
        <v>811721</v>
      </c>
      <c r="J60" s="21" t="s">
        <v>717</v>
      </c>
      <c r="L60" s="93"/>
      <c r="M60" s="94"/>
      <c r="N60" s="94"/>
      <c r="O60" s="95"/>
      <c r="P60" s="96"/>
    </row>
    <row r="61" spans="1:16" ht="15" customHeight="1" x14ac:dyDescent="0.2">
      <c r="A61" s="88">
        <v>59</v>
      </c>
      <c r="B61" s="89" t="s">
        <v>727</v>
      </c>
      <c r="C61" s="89">
        <v>11</v>
      </c>
      <c r="D61" s="90" t="s">
        <v>45</v>
      </c>
      <c r="E61" s="91" t="str" cm="1">
        <f t="array" ref="E6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61" s="54" t="s">
        <v>674</v>
      </c>
      <c r="G61" s="21" t="str">
        <f>VLOOKUP(Table253[[#This Row],[Offical_ID]],Master_Roster[[Offical ID]:[Last Name]],3,FALSE)</f>
        <v>Luke</v>
      </c>
      <c r="H61" s="21" t="s">
        <v>205</v>
      </c>
      <c r="I61" s="21">
        <v>814607</v>
      </c>
      <c r="J61" s="21" t="s">
        <v>716</v>
      </c>
      <c r="L61" s="97"/>
      <c r="M61" s="83"/>
      <c r="N61" s="83"/>
      <c r="O61" s="42"/>
      <c r="P61" s="23"/>
    </row>
    <row r="62" spans="1:16" ht="15" customHeight="1" x14ac:dyDescent="0.25">
      <c r="A62" s="57">
        <v>60</v>
      </c>
      <c r="B62" s="48" t="s">
        <v>727</v>
      </c>
      <c r="C62" s="48">
        <v>12</v>
      </c>
      <c r="D62" s="22" t="s">
        <v>29</v>
      </c>
      <c r="E62" s="21" t="e" cm="1">
        <f t="array" ref="E6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#N/A</v>
      </c>
      <c r="F62" s="54"/>
      <c r="G62" s="82" t="s">
        <v>714</v>
      </c>
      <c r="H62" s="82" t="s">
        <v>733</v>
      </c>
      <c r="I62" s="82" t="s">
        <v>730</v>
      </c>
      <c r="J62" s="21"/>
      <c r="L62" s="93"/>
      <c r="M62" s="94"/>
      <c r="N62" s="94"/>
      <c r="O62" s="95"/>
      <c r="P62" s="96"/>
    </row>
    <row r="63" spans="1:16" ht="15" customHeight="1" x14ac:dyDescent="0.2">
      <c r="A63" s="88">
        <v>61</v>
      </c>
      <c r="B63" s="89" t="s">
        <v>727</v>
      </c>
      <c r="C63" s="89">
        <v>13</v>
      </c>
      <c r="D63" s="90" t="s">
        <v>65</v>
      </c>
      <c r="E63" s="91" t="s">
        <v>732</v>
      </c>
      <c r="F63" s="54" t="s">
        <v>666</v>
      </c>
      <c r="G63" s="21" t="str">
        <f>VLOOKUP(Table253[[#This Row],[Offical_ID]],Master_Roster[[Offical ID]:[Last Name]],3,FALSE)</f>
        <v>Jayland</v>
      </c>
      <c r="H63" s="21" t="s">
        <v>88</v>
      </c>
      <c r="I63" s="21">
        <v>811724</v>
      </c>
      <c r="J63" s="21" t="s">
        <v>717</v>
      </c>
      <c r="L63" s="97"/>
      <c r="M63" s="83"/>
      <c r="N63" s="83"/>
      <c r="O63" s="42"/>
      <c r="P63" s="23"/>
    </row>
    <row r="64" spans="1:16" ht="15" customHeight="1" x14ac:dyDescent="0.2">
      <c r="A64" s="57">
        <v>62</v>
      </c>
      <c r="B64" s="48" t="s">
        <v>727</v>
      </c>
      <c r="C64" s="48">
        <v>14</v>
      </c>
      <c r="D64" s="22" t="s">
        <v>59</v>
      </c>
      <c r="E64" s="21" t="str" cm="1">
        <f t="array" ref="E6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64" s="54" t="s">
        <v>667</v>
      </c>
      <c r="G64" s="21" t="str">
        <f>VLOOKUP(Table253[[#This Row],[Offical_ID]],Master_Roster[[Offical ID]:[Last Name]],3,FALSE)</f>
        <v>DeSean</v>
      </c>
      <c r="H64" s="21" t="s">
        <v>88</v>
      </c>
      <c r="I64" s="21">
        <v>814608</v>
      </c>
      <c r="J64" s="21" t="s">
        <v>717</v>
      </c>
      <c r="L64" s="93"/>
      <c r="M64" s="94"/>
      <c r="N64" s="94"/>
      <c r="O64" s="95"/>
      <c r="P64" s="96"/>
    </row>
    <row r="65" spans="1:16" ht="15" customHeight="1" x14ac:dyDescent="0.2">
      <c r="A65" s="88">
        <v>63</v>
      </c>
      <c r="B65" s="89" t="s">
        <v>727</v>
      </c>
      <c r="C65" s="89">
        <v>15</v>
      </c>
      <c r="D65" s="90" t="s">
        <v>292</v>
      </c>
      <c r="E65" s="91" t="s">
        <v>892</v>
      </c>
      <c r="F65" s="54" t="s">
        <v>665</v>
      </c>
      <c r="G65" s="21" t="str">
        <f>VLOOKUP(Table253[[#This Row],[Offical_ID]],Master_Roster[[Offical ID]:[Last Name]],3,FALSE)</f>
        <v>Dylan</v>
      </c>
      <c r="H65" s="21" t="s">
        <v>88</v>
      </c>
      <c r="I65" s="21">
        <v>814611</v>
      </c>
      <c r="J65" s="21" t="s">
        <v>717</v>
      </c>
      <c r="L65" s="97"/>
      <c r="M65" s="83"/>
      <c r="N65" s="83"/>
      <c r="O65" s="42"/>
      <c r="P65" s="23"/>
    </row>
    <row r="66" spans="1:16" ht="15" customHeight="1" x14ac:dyDescent="0.2">
      <c r="A66" s="57">
        <v>64</v>
      </c>
      <c r="B66" s="48" t="s">
        <v>727</v>
      </c>
      <c r="C66" s="48">
        <v>16</v>
      </c>
      <c r="D66" s="22" t="s">
        <v>274</v>
      </c>
      <c r="E66" s="21" t="str" cm="1">
        <f t="array" ref="E6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66" s="54" t="s">
        <v>612</v>
      </c>
      <c r="G66" s="21" t="str">
        <f>VLOOKUP(Table253[[#This Row],[Offical_ID]],Master_Roster[[Offical ID]:[Last Name]],3,FALSE)</f>
        <v>Malik</v>
      </c>
      <c r="H66" s="21" t="s">
        <v>88</v>
      </c>
      <c r="I66" s="21">
        <v>814347</v>
      </c>
      <c r="J66" s="21" t="s">
        <v>717</v>
      </c>
      <c r="L66" s="93"/>
      <c r="M66" s="94"/>
      <c r="N66" s="94"/>
      <c r="O66" s="95"/>
      <c r="P66" s="96"/>
    </row>
    <row r="67" spans="1:16" ht="15" customHeight="1" x14ac:dyDescent="0.2">
      <c r="A67" s="88">
        <v>65</v>
      </c>
      <c r="B67" s="89" t="s">
        <v>727</v>
      </c>
      <c r="C67" s="89">
        <v>17</v>
      </c>
      <c r="D67" s="90" t="s">
        <v>72</v>
      </c>
      <c r="E67" s="91" t="str" cm="1">
        <f t="array" ref="E6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67" s="21" t="s">
        <v>600</v>
      </c>
      <c r="G67" s="21" t="str">
        <f>VLOOKUP(Table253[[#This Row],[Offical_ID]],Master_Roster[[Offical ID]:[Last Name]],3,FALSE)</f>
        <v>Brodie</v>
      </c>
      <c r="H67" s="21" t="s">
        <v>88</v>
      </c>
      <c r="I67" s="23">
        <v>811725</v>
      </c>
      <c r="J67" s="21" t="s">
        <v>717</v>
      </c>
      <c r="L67" s="97"/>
      <c r="M67" s="83"/>
      <c r="N67" s="83"/>
      <c r="O67" s="42"/>
      <c r="P67" s="23"/>
    </row>
    <row r="68" spans="1:16" x14ac:dyDescent="0.2">
      <c r="A68" s="57">
        <v>66</v>
      </c>
      <c r="B68" s="48" t="s">
        <v>727</v>
      </c>
      <c r="C68" s="48">
        <v>18</v>
      </c>
      <c r="D68" s="22" t="s">
        <v>67</v>
      </c>
      <c r="E68" s="21" t="s">
        <v>732</v>
      </c>
      <c r="F68" s="54" t="s">
        <v>610</v>
      </c>
      <c r="G68" s="21" t="str">
        <f>VLOOKUP(Table253[[#This Row],[Offical_ID]],Master_Roster[[Offical ID]:[Last Name]],3,FALSE)</f>
        <v>Kris</v>
      </c>
      <c r="H68" s="21" t="s">
        <v>88</v>
      </c>
      <c r="I68" s="21">
        <v>814348</v>
      </c>
      <c r="J68" s="21" t="s">
        <v>717</v>
      </c>
      <c r="L68" s="93"/>
      <c r="M68" s="94"/>
      <c r="N68" s="94"/>
      <c r="O68" s="95"/>
      <c r="P68" s="96"/>
    </row>
    <row r="69" spans="1:16" x14ac:dyDescent="0.2">
      <c r="A69" s="88">
        <v>67</v>
      </c>
      <c r="B69" s="89" t="s">
        <v>727</v>
      </c>
      <c r="C69" s="89">
        <v>19</v>
      </c>
      <c r="D69" s="90" t="s">
        <v>302</v>
      </c>
      <c r="E69" s="91" t="str" cm="1">
        <f t="array" ref="E6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69" s="54" t="s">
        <v>693</v>
      </c>
      <c r="G69" s="21" t="str">
        <f>VLOOKUP(Table253[[#This Row],[Offical_ID]],Master_Roster[[Offical ID]:[Last Name]],3,FALSE)</f>
        <v>Syncere</v>
      </c>
      <c r="H69" s="21" t="s">
        <v>88</v>
      </c>
      <c r="I69" s="21">
        <v>814599</v>
      </c>
      <c r="J69" s="21" t="s">
        <v>717</v>
      </c>
      <c r="L69" s="97"/>
      <c r="M69" s="83"/>
      <c r="N69" s="83"/>
      <c r="O69" s="42"/>
      <c r="P69" s="23"/>
    </row>
    <row r="70" spans="1:16" x14ac:dyDescent="0.2">
      <c r="A70" s="57">
        <v>68</v>
      </c>
      <c r="B70" s="48" t="s">
        <v>727</v>
      </c>
      <c r="C70" s="48">
        <v>20</v>
      </c>
      <c r="D70" s="22" t="s">
        <v>60</v>
      </c>
      <c r="E70" s="21" t="s">
        <v>732</v>
      </c>
      <c r="F70" s="54" t="s">
        <v>664</v>
      </c>
      <c r="G70" s="21" t="str">
        <f>VLOOKUP(Table253[[#This Row],[Offical_ID]],Master_Roster[[Offical ID]:[Last Name]],3,FALSE)</f>
        <v>Miles</v>
      </c>
      <c r="H70" s="21" t="s">
        <v>88</v>
      </c>
      <c r="I70" s="21">
        <v>814612</v>
      </c>
      <c r="J70" s="21" t="s">
        <v>717</v>
      </c>
      <c r="L70" s="93"/>
      <c r="M70" s="94"/>
      <c r="N70" s="94"/>
      <c r="O70" s="95"/>
      <c r="P70" s="96"/>
    </row>
    <row r="71" spans="1:16" x14ac:dyDescent="0.2">
      <c r="A71" s="88">
        <v>69</v>
      </c>
      <c r="B71" s="89" t="s">
        <v>727</v>
      </c>
      <c r="C71" s="89">
        <v>21</v>
      </c>
      <c r="D71" s="90" t="s">
        <v>62</v>
      </c>
      <c r="E71" s="91" t="str" cm="1">
        <f t="array" ref="E7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71" s="54" t="s">
        <v>593</v>
      </c>
      <c r="G71" s="21" t="str">
        <f>VLOOKUP(Table253[[#This Row],[Offical_ID]],Master_Roster[[Offical ID]:[Last Name]],3,FALSE)</f>
        <v>Melvin</v>
      </c>
      <c r="H71" s="21" t="s">
        <v>88</v>
      </c>
      <c r="I71" s="21">
        <v>814454</v>
      </c>
      <c r="J71" s="21" t="s">
        <v>717</v>
      </c>
      <c r="L71" s="97"/>
      <c r="M71" s="83"/>
      <c r="N71" s="83"/>
      <c r="O71" s="42"/>
      <c r="P71" s="23"/>
    </row>
    <row r="72" spans="1:16" x14ac:dyDescent="0.2">
      <c r="A72" s="57">
        <v>70</v>
      </c>
      <c r="B72" s="48" t="s">
        <v>727</v>
      </c>
      <c r="C72" s="48">
        <v>22</v>
      </c>
      <c r="D72" s="22" t="s">
        <v>61</v>
      </c>
      <c r="E72" s="21" t="str" cm="1">
        <f t="array" ref="E7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72" s="54" t="s">
        <v>696</v>
      </c>
      <c r="G72" s="21" t="str">
        <f>VLOOKUP(Table253[[#This Row],[Offical_ID]],Master_Roster[[Offical ID]:[Last Name]],3,FALSE)</f>
        <v>Jordan</v>
      </c>
      <c r="H72" s="21" t="s">
        <v>88</v>
      </c>
      <c r="I72" s="21">
        <v>814593</v>
      </c>
      <c r="J72" s="21" t="s">
        <v>717</v>
      </c>
      <c r="L72" s="97"/>
      <c r="M72" s="23"/>
      <c r="N72" s="23"/>
      <c r="O72" s="32"/>
      <c r="P72" s="23"/>
    </row>
    <row r="73" spans="1:16" x14ac:dyDescent="0.2">
      <c r="A73" s="88">
        <v>71</v>
      </c>
      <c r="B73" s="89" t="s">
        <v>727</v>
      </c>
      <c r="C73" s="89">
        <v>23</v>
      </c>
      <c r="D73" s="90" t="s">
        <v>303</v>
      </c>
      <c r="E73" s="91" t="str" cm="1">
        <f t="array" ref="E7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73" s="54" t="s">
        <v>694</v>
      </c>
      <c r="G73" s="21" t="str">
        <f>VLOOKUP(Table253[[#This Row],[Offical_ID]],Master_Roster[[Offical ID]:[Last Name]],3,FALSE)</f>
        <v>James</v>
      </c>
      <c r="H73" s="21" t="s">
        <v>88</v>
      </c>
      <c r="I73" s="21">
        <v>814598</v>
      </c>
      <c r="J73" s="21" t="s">
        <v>717</v>
      </c>
      <c r="L73" s="97"/>
      <c r="M73" s="23"/>
      <c r="N73" s="23"/>
      <c r="O73" s="32"/>
      <c r="P73" s="23"/>
    </row>
    <row r="74" spans="1:16" x14ac:dyDescent="0.2">
      <c r="A74" s="57">
        <v>72</v>
      </c>
      <c r="B74" s="48" t="s">
        <v>727</v>
      </c>
      <c r="C74" s="48">
        <v>24</v>
      </c>
      <c r="D74" s="22" t="s">
        <v>278</v>
      </c>
      <c r="E74" s="21" t="str" cm="1">
        <f t="array" ref="E7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74" s="54" t="s">
        <v>656</v>
      </c>
      <c r="G74" s="21" t="str">
        <f>VLOOKUP(Table253[[#This Row],[Offical_ID]],Master_Roster[[Offical ID]:[Last Name]],3,FALSE)</f>
        <v>Diego</v>
      </c>
      <c r="H74" s="21" t="s">
        <v>425</v>
      </c>
      <c r="I74" s="21">
        <v>811739</v>
      </c>
      <c r="J74" s="21" t="s">
        <v>717</v>
      </c>
      <c r="L74" s="97"/>
      <c r="M74" s="23"/>
      <c r="N74" s="23"/>
      <c r="O74" s="32"/>
      <c r="P74" s="23"/>
    </row>
    <row r="75" spans="1:16" x14ac:dyDescent="0.2">
      <c r="A75" s="88">
        <v>73</v>
      </c>
      <c r="B75" s="89" t="s">
        <v>728</v>
      </c>
      <c r="C75" s="89">
        <v>1</v>
      </c>
      <c r="D75" s="90" t="s">
        <v>68</v>
      </c>
      <c r="E75" s="91" t="str" cm="1">
        <f t="array" ref="E7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75" s="54" t="s">
        <v>625</v>
      </c>
      <c r="G75" s="21" t="str">
        <f>VLOOKUP(Table253[[#This Row],[Offical_ID]],Master_Roster[[Offical ID]:[Last Name]],3,FALSE)</f>
        <v>Jekob</v>
      </c>
      <c r="H75" s="21" t="s">
        <v>425</v>
      </c>
      <c r="I75" s="21">
        <v>814343</v>
      </c>
      <c r="J75" s="21" t="s">
        <v>717</v>
      </c>
      <c r="L75" s="97"/>
      <c r="M75" s="23"/>
      <c r="N75" s="23"/>
      <c r="O75" s="32"/>
      <c r="P75" s="23"/>
    </row>
    <row r="76" spans="1:16" x14ac:dyDescent="0.2">
      <c r="A76" s="57">
        <v>74</v>
      </c>
      <c r="B76" s="48" t="s">
        <v>728</v>
      </c>
      <c r="C76" s="48">
        <v>2</v>
      </c>
      <c r="D76" s="22" t="s">
        <v>288</v>
      </c>
      <c r="E76" s="21" t="str" cm="1">
        <f t="array" ref="E7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76" s="54" t="s">
        <v>653</v>
      </c>
      <c r="G76" s="21" t="str">
        <f>VLOOKUP(Table253[[#This Row],[Offical_ID]],Master_Roster[[Offical ID]:[Last Name]],3,FALSE)</f>
        <v>Derek</v>
      </c>
      <c r="H76" s="21" t="s">
        <v>425</v>
      </c>
      <c r="I76" s="21">
        <v>811731</v>
      </c>
      <c r="J76" s="21" t="s">
        <v>717</v>
      </c>
      <c r="L76" s="97"/>
      <c r="M76" s="23"/>
      <c r="N76" s="23"/>
      <c r="O76" s="32"/>
      <c r="P76" s="23"/>
    </row>
    <row r="77" spans="1:16" x14ac:dyDescent="0.2">
      <c r="A77" s="88">
        <v>75</v>
      </c>
      <c r="B77" s="89" t="s">
        <v>728</v>
      </c>
      <c r="C77" s="89">
        <v>3</v>
      </c>
      <c r="D77" s="90" t="s">
        <v>47</v>
      </c>
      <c r="E77" s="91" t="s">
        <v>892</v>
      </c>
      <c r="F77" s="54"/>
      <c r="G77" s="21" t="e">
        <f>VLOOKUP(Table253[[#This Row],[Offical_ID]],Master_Roster[[Offical ID]:[Last Name]],3,FALSE)</f>
        <v>#N/A</v>
      </c>
      <c r="H77" s="21"/>
      <c r="I77" s="21"/>
      <c r="J77" s="21"/>
      <c r="L77" s="97"/>
      <c r="M77" s="23"/>
      <c r="N77" s="23"/>
      <c r="O77" s="32"/>
      <c r="P77" s="23"/>
    </row>
    <row r="78" spans="1:16" x14ac:dyDescent="0.2">
      <c r="A78" s="57">
        <v>76</v>
      </c>
      <c r="B78" s="48" t="s">
        <v>728</v>
      </c>
      <c r="C78" s="48">
        <v>4</v>
      </c>
      <c r="D78" s="22" t="s">
        <v>281</v>
      </c>
      <c r="E78" s="21" t="str" cm="1">
        <f t="array" ref="E7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78" s="54" t="s">
        <v>581</v>
      </c>
      <c r="G78" s="21" t="str">
        <f>VLOOKUP(Table253[[#This Row],[Offical_ID]],Master_Roster[[Offical ID]:[Last Name]],3,FALSE)</f>
        <v>Matthew</v>
      </c>
      <c r="H78" s="21" t="s">
        <v>425</v>
      </c>
      <c r="I78" s="21">
        <v>811510</v>
      </c>
      <c r="J78" s="21" t="s">
        <v>717</v>
      </c>
      <c r="L78" s="97"/>
      <c r="M78" s="23"/>
      <c r="N78" s="23"/>
      <c r="O78" s="32"/>
      <c r="P78" s="23"/>
    </row>
    <row r="79" spans="1:16" x14ac:dyDescent="0.2">
      <c r="A79" s="88">
        <v>77</v>
      </c>
      <c r="B79" s="89" t="s">
        <v>728</v>
      </c>
      <c r="C79" s="89">
        <v>5</v>
      </c>
      <c r="D79" s="90" t="s">
        <v>23</v>
      </c>
      <c r="E79" s="91" t="str" cm="1">
        <f t="array" ref="E7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79" s="54" t="s">
        <v>636</v>
      </c>
      <c r="G79" s="21" t="str">
        <f>VLOOKUP(Table253[[#This Row],[Offical_ID]],Master_Roster[[Offical ID]:[Last Name]],3,FALSE)</f>
        <v>Dejuan</v>
      </c>
      <c r="H79" s="21" t="s">
        <v>321</v>
      </c>
      <c r="I79" s="21">
        <v>811532</v>
      </c>
      <c r="J79" s="21" t="s">
        <v>717</v>
      </c>
      <c r="L79" s="97"/>
      <c r="M79" s="23"/>
      <c r="N79" s="23"/>
      <c r="O79" s="32"/>
      <c r="P79" s="23"/>
    </row>
    <row r="80" spans="1:16" x14ac:dyDescent="0.2">
      <c r="A80" s="57">
        <v>78</v>
      </c>
      <c r="B80" s="48" t="s">
        <v>728</v>
      </c>
      <c r="C80" s="48">
        <v>6</v>
      </c>
      <c r="D80" s="22" t="s">
        <v>26</v>
      </c>
      <c r="E80" s="21" t="str" cm="1">
        <f t="array" ref="E8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80" s="54" t="s">
        <v>691</v>
      </c>
      <c r="G80" s="21" t="str">
        <f>VLOOKUP(Table253[[#This Row],[Offical_ID]],Master_Roster[[Offical ID]:[Last Name]],3,FALSE)</f>
        <v>Gavin</v>
      </c>
      <c r="H80" s="21" t="s">
        <v>139</v>
      </c>
      <c r="I80" s="21">
        <v>814597</v>
      </c>
      <c r="J80" s="21" t="s">
        <v>716</v>
      </c>
      <c r="L80" s="97"/>
      <c r="M80" s="23"/>
      <c r="N80" s="23"/>
      <c r="O80" s="32"/>
      <c r="P80" s="23"/>
    </row>
    <row r="81" spans="1:16" x14ac:dyDescent="0.2">
      <c r="A81" s="88">
        <v>79</v>
      </c>
      <c r="B81" s="89" t="s">
        <v>728</v>
      </c>
      <c r="C81" s="89">
        <v>7</v>
      </c>
      <c r="D81" s="90" t="s">
        <v>18</v>
      </c>
      <c r="E81" s="91" t="s">
        <v>894</v>
      </c>
      <c r="F81" s="23" t="s">
        <v>652</v>
      </c>
      <c r="G81" s="23" t="str">
        <f>VLOOKUP(Table253[[#This Row],[Offical_ID]],Master_Roster[[Offical ID]:[Last Name]],3,FALSE)</f>
        <v>Sammy</v>
      </c>
      <c r="H81" s="23" t="s">
        <v>483</v>
      </c>
      <c r="I81" s="23">
        <v>811516</v>
      </c>
      <c r="J81" s="23" t="s">
        <v>716</v>
      </c>
      <c r="L81" s="97"/>
      <c r="M81" s="23"/>
      <c r="N81" s="23"/>
      <c r="O81" s="32"/>
      <c r="P81" s="23"/>
    </row>
    <row r="82" spans="1:16" x14ac:dyDescent="0.2">
      <c r="A82" s="57">
        <v>80</v>
      </c>
      <c r="B82" s="48" t="s">
        <v>728</v>
      </c>
      <c r="C82" s="48">
        <v>8</v>
      </c>
      <c r="D82" s="22" t="s">
        <v>24</v>
      </c>
      <c r="E82" s="21" t="str" cm="1">
        <f t="array" ref="E8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2" s="54" t="s">
        <v>639</v>
      </c>
      <c r="G82" s="21" t="str">
        <f>VLOOKUP(Table253[[#This Row],[Offical_ID]],Master_Roster[[Offical ID]:[Last Name]],3,FALSE)</f>
        <v>Elias</v>
      </c>
      <c r="H82" s="21" t="s">
        <v>80</v>
      </c>
      <c r="I82" s="21">
        <v>814338</v>
      </c>
      <c r="J82" s="21" t="s">
        <v>716</v>
      </c>
      <c r="L82" s="97"/>
      <c r="M82" s="23"/>
      <c r="N82" s="23"/>
      <c r="O82" s="32"/>
      <c r="P82" s="23"/>
    </row>
    <row r="83" spans="1:16" x14ac:dyDescent="0.2">
      <c r="A83" s="88">
        <v>81</v>
      </c>
      <c r="B83" s="89" t="s">
        <v>728</v>
      </c>
      <c r="C83" s="89">
        <v>9</v>
      </c>
      <c r="D83" s="90" t="s">
        <v>273</v>
      </c>
      <c r="E83" s="91" t="str" cm="1">
        <f t="array" ref="E8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3" s="54" t="s">
        <v>602</v>
      </c>
      <c r="G83" s="21" t="e">
        <f>VLOOKUP(Table253[[#This Row],[Offical_ID]],Master_Roster[[Offical ID]:[Last Name]],3,FALSE)</f>
        <v>#N/A</v>
      </c>
      <c r="H83" s="21" t="s">
        <v>80</v>
      </c>
      <c r="I83" s="21">
        <v>811722</v>
      </c>
      <c r="J83" s="21" t="s">
        <v>716</v>
      </c>
      <c r="L83" s="97"/>
      <c r="M83" s="23"/>
      <c r="N83" s="23"/>
      <c r="O83" s="32"/>
      <c r="P83" s="23"/>
    </row>
    <row r="84" spans="1:16" x14ac:dyDescent="0.2">
      <c r="A84" s="57">
        <v>82</v>
      </c>
      <c r="B84" s="48" t="s">
        <v>728</v>
      </c>
      <c r="C84" s="48">
        <v>10</v>
      </c>
      <c r="D84" s="22" t="s">
        <v>38</v>
      </c>
      <c r="E84" s="21" t="str" cm="1">
        <f t="array" ref="E8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4" s="54" t="s">
        <v>624</v>
      </c>
      <c r="G84" s="21" t="e">
        <f>VLOOKUP(Table253[[#This Row],[Offical_ID]],Master_Roster[[Offical ID]:[Last Name]],3,FALSE)</f>
        <v>#N/A</v>
      </c>
      <c r="H84" s="21" t="s">
        <v>93</v>
      </c>
      <c r="I84" s="21">
        <v>814329</v>
      </c>
      <c r="J84" s="21" t="s">
        <v>716</v>
      </c>
      <c r="L84" s="97"/>
      <c r="M84" s="23"/>
      <c r="N84" s="23"/>
      <c r="O84" s="32"/>
      <c r="P84" s="23"/>
    </row>
    <row r="85" spans="1:16" x14ac:dyDescent="0.2">
      <c r="A85" s="88">
        <v>83</v>
      </c>
      <c r="B85" s="89" t="s">
        <v>728</v>
      </c>
      <c r="C85" s="89">
        <v>11</v>
      </c>
      <c r="D85" s="90" t="s">
        <v>28</v>
      </c>
      <c r="E85" s="91" t="str" cm="1">
        <f t="array" ref="E8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5" s="54" t="s">
        <v>635</v>
      </c>
      <c r="G85" s="21" t="str">
        <f>VLOOKUP(Table253[[#This Row],[Offical_ID]],Master_Roster[[Offical ID]:[Last Name]],3,FALSE)</f>
        <v>Hayden</v>
      </c>
      <c r="H85" s="21" t="s">
        <v>93</v>
      </c>
      <c r="I85" s="21">
        <v>814340</v>
      </c>
      <c r="J85" s="21" t="s">
        <v>716</v>
      </c>
      <c r="L85" s="97"/>
      <c r="M85" s="23"/>
      <c r="N85" s="23"/>
      <c r="O85" s="32"/>
      <c r="P85" s="23"/>
    </row>
    <row r="86" spans="1:16" x14ac:dyDescent="0.2">
      <c r="A86" s="57">
        <v>84</v>
      </c>
      <c r="B86" s="48" t="s">
        <v>728</v>
      </c>
      <c r="C86" s="48">
        <v>12</v>
      </c>
      <c r="D86" s="22" t="s">
        <v>289</v>
      </c>
      <c r="E86" s="21" t="str" cm="1">
        <f t="array" ref="E8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6" s="54" t="s">
        <v>619</v>
      </c>
      <c r="G86" s="21" t="str">
        <f>VLOOKUP(Table253[[#This Row],[Offical_ID]],Master_Roster[[Offical ID]:[Last Name]],3,FALSE)</f>
        <v>Ernest</v>
      </c>
      <c r="H86" s="21" t="s">
        <v>93</v>
      </c>
      <c r="I86" s="21">
        <v>811723</v>
      </c>
      <c r="J86" s="21" t="s">
        <v>716</v>
      </c>
      <c r="L86" s="97"/>
      <c r="M86" s="23"/>
      <c r="N86" s="23"/>
      <c r="O86" s="32"/>
      <c r="P86" s="23"/>
    </row>
    <row r="87" spans="1:16" x14ac:dyDescent="0.2">
      <c r="A87" s="88">
        <v>85</v>
      </c>
      <c r="B87" s="89" t="s">
        <v>728</v>
      </c>
      <c r="C87" s="89">
        <v>13</v>
      </c>
      <c r="D87" s="90" t="s">
        <v>286</v>
      </c>
      <c r="E87" s="91" t="str" cm="1">
        <f t="array" ref="E8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7" s="54" t="s">
        <v>599</v>
      </c>
      <c r="G87" s="21" t="str">
        <f>VLOOKUP(Table253[[#This Row],[Offical_ID]],Master_Roster[[Offical ID]:[Last Name]],3,FALSE)</f>
        <v>Jordan</v>
      </c>
      <c r="H87" s="21" t="s">
        <v>93</v>
      </c>
      <c r="I87" s="21">
        <v>814333</v>
      </c>
      <c r="J87" s="21" t="s">
        <v>716</v>
      </c>
      <c r="L87" s="97"/>
      <c r="M87" s="23"/>
      <c r="N87" s="23"/>
      <c r="O87" s="32"/>
      <c r="P87" s="23"/>
    </row>
    <row r="88" spans="1:16" x14ac:dyDescent="0.2">
      <c r="A88" s="57">
        <v>86</v>
      </c>
      <c r="B88" s="48" t="s">
        <v>728</v>
      </c>
      <c r="C88" s="48">
        <v>14</v>
      </c>
      <c r="D88" s="22" t="s">
        <v>7</v>
      </c>
      <c r="E88" s="21" t="str" cm="1">
        <f t="array" ref="E8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88" s="54" t="s">
        <v>606</v>
      </c>
      <c r="G88" s="21" t="str">
        <f>VLOOKUP(Table253[[#This Row],[Offical_ID]],Master_Roster[[Offical ID]:[Last Name]],3,FALSE)</f>
        <v>Warren</v>
      </c>
      <c r="H88" s="21" t="s">
        <v>321</v>
      </c>
      <c r="I88" s="21">
        <v>811525</v>
      </c>
      <c r="J88" s="21" t="s">
        <v>717</v>
      </c>
      <c r="L88" s="97"/>
      <c r="M88" s="23"/>
      <c r="N88" s="23"/>
      <c r="O88" s="32"/>
      <c r="P88" s="23"/>
    </row>
    <row r="89" spans="1:16" x14ac:dyDescent="0.2">
      <c r="A89" s="88">
        <v>87</v>
      </c>
      <c r="B89" s="89" t="s">
        <v>728</v>
      </c>
      <c r="C89" s="89">
        <v>15</v>
      </c>
      <c r="D89" s="90" t="s">
        <v>577</v>
      </c>
      <c r="E89" s="91" t="str" cm="1">
        <f t="array" ref="E8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89" s="54" t="s">
        <v>649</v>
      </c>
      <c r="G89" s="21" t="str">
        <f>VLOOKUP(Table253[[#This Row],[Offical_ID]],Master_Roster[[Offical ID]:[Last Name]],3,FALSE)</f>
        <v>Dylan</v>
      </c>
      <c r="H89" s="21" t="s">
        <v>338</v>
      </c>
      <c r="I89" s="21">
        <v>814592</v>
      </c>
      <c r="J89" s="21" t="s">
        <v>717</v>
      </c>
      <c r="L89" s="97"/>
      <c r="M89" s="23"/>
      <c r="N89" s="23"/>
      <c r="O89" s="32"/>
      <c r="P89" s="23"/>
    </row>
    <row r="90" spans="1:16" x14ac:dyDescent="0.2">
      <c r="A90" s="57">
        <v>88</v>
      </c>
      <c r="B90" s="48" t="s">
        <v>728</v>
      </c>
      <c r="C90" s="48">
        <v>16</v>
      </c>
      <c r="D90" s="22" t="s">
        <v>276</v>
      </c>
      <c r="E90" s="21" t="str" cm="1">
        <f t="array" ref="E9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0" s="54" t="s">
        <v>614</v>
      </c>
      <c r="G90" s="21" t="str">
        <f>VLOOKUP(Table253[[#This Row],[Offical_ID]],Master_Roster[[Offical ID]:[Last Name]],3,FALSE)</f>
        <v>Jace</v>
      </c>
      <c r="H90" s="21" t="s">
        <v>93</v>
      </c>
      <c r="I90" s="21">
        <v>814329</v>
      </c>
      <c r="J90" s="21" t="s">
        <v>716</v>
      </c>
      <c r="L90" s="97"/>
      <c r="M90" s="23"/>
      <c r="N90" s="23"/>
      <c r="O90" s="32"/>
      <c r="P90" s="23"/>
    </row>
    <row r="91" spans="1:16" x14ac:dyDescent="0.2">
      <c r="A91" s="88">
        <v>89</v>
      </c>
      <c r="B91" s="89" t="s">
        <v>728</v>
      </c>
      <c r="C91" s="89">
        <v>17</v>
      </c>
      <c r="D91" s="90" t="s">
        <v>10</v>
      </c>
      <c r="E91" s="91" t="str" cm="1">
        <f t="array" ref="E9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XL</v>
      </c>
      <c r="F91" s="54" t="s">
        <v>646</v>
      </c>
      <c r="G91" s="21" t="str">
        <f>VLOOKUP(Table253[[#This Row],[Offical_ID]],Master_Roster[[Offical ID]:[Last Name]],3,FALSE)</f>
        <v>Pita</v>
      </c>
      <c r="H91" s="21" t="s">
        <v>338</v>
      </c>
      <c r="I91" s="21">
        <v>814350</v>
      </c>
      <c r="J91" s="21" t="s">
        <v>717</v>
      </c>
      <c r="L91" s="97"/>
      <c r="M91" s="23"/>
      <c r="N91" s="23"/>
      <c r="O91" s="32"/>
      <c r="P91" s="23"/>
    </row>
    <row r="92" spans="1:16" x14ac:dyDescent="0.2">
      <c r="A92" s="57">
        <v>90</v>
      </c>
      <c r="B92" s="48" t="s">
        <v>728</v>
      </c>
      <c r="C92" s="48">
        <v>18</v>
      </c>
      <c r="D92" s="22" t="s">
        <v>14</v>
      </c>
      <c r="E92" s="21" t="str" cm="1">
        <f t="array" ref="E9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XXXL</v>
      </c>
      <c r="F92" s="54" t="s">
        <v>623</v>
      </c>
      <c r="G92" s="21" t="str">
        <f>VLOOKUP(Table253[[#This Row],[Offical_ID]],Master_Roster[[Offical ID]:[Last Name]],3,FALSE)</f>
        <v>Brennon</v>
      </c>
      <c r="H92" s="21" t="s">
        <v>88</v>
      </c>
      <c r="I92" s="21">
        <v>811733</v>
      </c>
      <c r="J92" s="21" t="s">
        <v>717</v>
      </c>
      <c r="L92" s="97"/>
      <c r="M92" s="23"/>
      <c r="N92" s="23"/>
      <c r="O92" s="32"/>
      <c r="P92" s="23"/>
    </row>
    <row r="93" spans="1:16" x14ac:dyDescent="0.2">
      <c r="A93" s="88">
        <v>91</v>
      </c>
      <c r="B93" s="89" t="s">
        <v>728</v>
      </c>
      <c r="C93" s="89">
        <v>19</v>
      </c>
      <c r="D93" s="90" t="s">
        <v>896</v>
      </c>
      <c r="E93" s="91" t="str" cm="1">
        <f t="array" ref="E9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3" s="54" t="s">
        <v>601</v>
      </c>
      <c r="G93" s="21" t="str">
        <f>VLOOKUP(Table253[[#This Row],[Offical_ID]],Master_Roster[[Offical ID]:[Last Name]],3,FALSE)</f>
        <v>Diesel</v>
      </c>
      <c r="H93" s="21" t="s">
        <v>351</v>
      </c>
      <c r="I93" s="21">
        <v>810861</v>
      </c>
      <c r="J93" s="21" t="s">
        <v>717</v>
      </c>
      <c r="L93" s="97"/>
      <c r="M93" s="23"/>
      <c r="N93" s="23"/>
      <c r="O93" s="32"/>
      <c r="P93" s="23"/>
    </row>
    <row r="94" spans="1:16" x14ac:dyDescent="0.2">
      <c r="A94" s="57">
        <v>92</v>
      </c>
      <c r="B94" s="48" t="s">
        <v>728</v>
      </c>
      <c r="C94" s="48">
        <v>20</v>
      </c>
      <c r="D94" s="22" t="s">
        <v>272</v>
      </c>
      <c r="E94" s="21" t="str" cm="1">
        <f t="array" ref="E9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4" s="54" t="s">
        <v>645</v>
      </c>
      <c r="G94" s="21" t="str">
        <f>VLOOKUP(Table253[[#This Row],[Offical_ID]],Master_Roster[[Offical ID]:[Last Name]],3,FALSE)</f>
        <v>Koa</v>
      </c>
      <c r="H94" s="21" t="s">
        <v>351</v>
      </c>
      <c r="I94" s="21">
        <v>811334</v>
      </c>
      <c r="J94" s="21" t="s">
        <v>717</v>
      </c>
      <c r="L94" s="97"/>
      <c r="M94" s="23"/>
      <c r="N94" s="23"/>
      <c r="O94" s="32"/>
      <c r="P94" s="23"/>
    </row>
    <row r="95" spans="1:16" x14ac:dyDescent="0.2">
      <c r="A95" s="88">
        <v>93</v>
      </c>
      <c r="B95" s="89" t="s">
        <v>728</v>
      </c>
      <c r="C95" s="89">
        <v>21</v>
      </c>
      <c r="D95" s="90" t="s">
        <v>283</v>
      </c>
      <c r="E95" s="91" t="str" cm="1">
        <f t="array" ref="E9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5" s="54" t="s">
        <v>603</v>
      </c>
      <c r="G95" s="21" t="str">
        <f>VLOOKUP(Table253[[#This Row],[Offical_ID]],Master_Roster[[Offical ID]:[Last Name]],3,FALSE)</f>
        <v>Oscar</v>
      </c>
      <c r="H95" s="21" t="s">
        <v>351</v>
      </c>
      <c r="I95" s="21">
        <v>814349</v>
      </c>
      <c r="J95" s="21" t="s">
        <v>717</v>
      </c>
      <c r="L95" s="97"/>
      <c r="M95" s="23"/>
      <c r="N95" s="23"/>
      <c r="O95" s="32"/>
      <c r="P95" s="23"/>
    </row>
    <row r="96" spans="1:16" x14ac:dyDescent="0.2">
      <c r="A96" s="57">
        <v>94</v>
      </c>
      <c r="B96" s="48" t="s">
        <v>728</v>
      </c>
      <c r="C96" s="48">
        <v>22</v>
      </c>
      <c r="D96" s="22" t="s">
        <v>32</v>
      </c>
      <c r="E96" s="21" t="s">
        <v>892</v>
      </c>
      <c r="F96" s="54" t="s">
        <v>613</v>
      </c>
      <c r="G96" s="21" t="str">
        <f>VLOOKUP(Table253[[#This Row],[Offical_ID]],Master_Roster[[Offical ID]:[Last Name]],3,FALSE)</f>
        <v>Jayden</v>
      </c>
      <c r="H96" s="21" t="s">
        <v>321</v>
      </c>
      <c r="I96" s="21">
        <v>814453</v>
      </c>
      <c r="J96" s="21" t="s">
        <v>717</v>
      </c>
      <c r="L96" s="97"/>
      <c r="M96" s="23"/>
      <c r="N96" s="23"/>
      <c r="O96" s="32"/>
      <c r="P96" s="23"/>
    </row>
    <row r="97" spans="1:16" x14ac:dyDescent="0.2">
      <c r="A97" s="84">
        <v>95</v>
      </c>
      <c r="B97" s="85" t="s">
        <v>728</v>
      </c>
      <c r="C97" s="85">
        <v>23</v>
      </c>
      <c r="D97" s="86" t="s">
        <v>300</v>
      </c>
      <c r="E97" s="87" t="str" cm="1">
        <f t="array" ref="E9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7" s="54" t="s">
        <v>608</v>
      </c>
      <c r="G97" s="21" t="str">
        <f>VLOOKUP(Table253[[#This Row],[Offical_ID]],Master_Roster[[Offical ID]:[Last Name]],3,FALSE)</f>
        <v>Jalen</v>
      </c>
      <c r="H97" s="21" t="s">
        <v>351</v>
      </c>
      <c r="I97" s="21">
        <v>811736</v>
      </c>
      <c r="J97" s="21" t="s">
        <v>717</v>
      </c>
      <c r="L97" s="97"/>
      <c r="M97" s="23"/>
      <c r="N97" s="23"/>
      <c r="O97" s="32"/>
      <c r="P97" s="23"/>
    </row>
    <row r="98" spans="1:16" x14ac:dyDescent="0.2">
      <c r="A98" s="57">
        <v>96</v>
      </c>
      <c r="B98" s="48" t="s">
        <v>728</v>
      </c>
      <c r="C98" s="48">
        <v>24</v>
      </c>
      <c r="D98" s="22" t="s">
        <v>299</v>
      </c>
      <c r="E98" s="21" t="str" cm="1">
        <f t="array" ref="E9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8" s="54" t="s">
        <v>580</v>
      </c>
      <c r="G98" s="21" t="str">
        <f>VLOOKUP(Table253[[#This Row],[Offical_ID]],Master_Roster[[Offical ID]:[Last Name]],3,FALSE)</f>
        <v>Sam</v>
      </c>
      <c r="H98" s="21" t="s">
        <v>80</v>
      </c>
      <c r="I98" s="21">
        <v>811513</v>
      </c>
      <c r="J98" s="21" t="s">
        <v>716</v>
      </c>
      <c r="L98" s="97"/>
      <c r="M98" s="23"/>
      <c r="N98" s="23"/>
      <c r="O98" s="32"/>
      <c r="P98" s="23"/>
    </row>
    <row r="99" spans="1:16" x14ac:dyDescent="0.2">
      <c r="A99" s="84">
        <v>97</v>
      </c>
      <c r="B99" s="85" t="s">
        <v>726</v>
      </c>
      <c r="C99" s="85">
        <v>1</v>
      </c>
      <c r="D99" s="86" t="s">
        <v>22</v>
      </c>
      <c r="E99" s="87" t="str" cm="1">
        <f t="array" ref="E9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99" s="54" t="s">
        <v>688</v>
      </c>
      <c r="G99" s="21" t="str">
        <f>VLOOKUP(Table253[[#This Row],[Offical_ID]],Master_Roster[[Offical ID]:[Last Name]],3,FALSE)</f>
        <v>Dontae</v>
      </c>
      <c r="H99" s="21" t="s">
        <v>93</v>
      </c>
      <c r="I99" s="21">
        <v>814470</v>
      </c>
      <c r="J99" s="21" t="s">
        <v>716</v>
      </c>
      <c r="L99" s="97"/>
      <c r="M99" s="23"/>
      <c r="N99" s="23"/>
      <c r="O99" s="32"/>
      <c r="P99" s="23"/>
    </row>
    <row r="100" spans="1:16" x14ac:dyDescent="0.2">
      <c r="A100" s="57">
        <v>98</v>
      </c>
      <c r="B100" s="48" t="s">
        <v>726</v>
      </c>
      <c r="C100" s="48">
        <v>2</v>
      </c>
      <c r="D100" s="22" t="s">
        <v>27</v>
      </c>
      <c r="E100" s="21" t="str" cm="1">
        <f t="array" ref="E10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0" s="23" t="s">
        <v>611</v>
      </c>
      <c r="G100" s="23" t="str">
        <f>VLOOKUP(Table253[[#This Row],[Offical_ID]],Master_Roster[[Offical ID]:[Last Name]],3,FALSE)</f>
        <v>Damien</v>
      </c>
      <c r="H100" s="23" t="s">
        <v>93</v>
      </c>
      <c r="I100" s="23">
        <v>811523</v>
      </c>
      <c r="J100" s="23" t="s">
        <v>716</v>
      </c>
      <c r="L100" s="97"/>
      <c r="M100" s="23"/>
      <c r="N100" s="23"/>
      <c r="O100" s="32"/>
      <c r="P100" s="23"/>
    </row>
    <row r="101" spans="1:16" x14ac:dyDescent="0.2">
      <c r="A101" s="84">
        <v>99</v>
      </c>
      <c r="B101" s="85" t="s">
        <v>726</v>
      </c>
      <c r="C101" s="85">
        <v>3</v>
      </c>
      <c r="D101" s="86" t="s">
        <v>20</v>
      </c>
      <c r="E101" s="87" t="str" cm="1">
        <f t="array" ref="E10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1" s="54" t="s">
        <v>620</v>
      </c>
      <c r="G101" s="21" t="str">
        <f>VLOOKUP(Table253[[#This Row],[Offical_ID]],Master_Roster[[Offical ID]:[Last Name]],3,FALSE)</f>
        <v>Yebrell</v>
      </c>
      <c r="H101" s="21" t="s">
        <v>351</v>
      </c>
      <c r="I101" s="21">
        <v>814345</v>
      </c>
      <c r="J101" s="21" t="s">
        <v>717</v>
      </c>
      <c r="L101" s="97"/>
      <c r="M101" s="23"/>
      <c r="N101" s="23"/>
      <c r="O101" s="32"/>
      <c r="P101" s="23"/>
    </row>
    <row r="102" spans="1:16" x14ac:dyDescent="0.2">
      <c r="A102" s="57">
        <v>100</v>
      </c>
      <c r="B102" s="48" t="s">
        <v>726</v>
      </c>
      <c r="C102" s="48">
        <v>4</v>
      </c>
      <c r="D102" s="22" t="s">
        <v>17</v>
      </c>
      <c r="E102" s="21" t="str" cm="1">
        <f t="array" ref="E10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2" s="54" t="s">
        <v>626</v>
      </c>
      <c r="G102" s="21" t="str">
        <f>VLOOKUP(Table253[[#This Row],[Offical_ID]],Master_Roster[[Offical ID]:[Last Name]],3,FALSE)</f>
        <v>Kaleb</v>
      </c>
      <c r="H102" s="21" t="s">
        <v>351</v>
      </c>
      <c r="I102" s="21">
        <v>811728</v>
      </c>
      <c r="J102" s="21" t="s">
        <v>717</v>
      </c>
      <c r="L102" s="97"/>
      <c r="M102" s="23"/>
      <c r="N102" s="23"/>
      <c r="O102" s="32"/>
      <c r="P102" s="23"/>
    </row>
    <row r="103" spans="1:16" x14ac:dyDescent="0.2">
      <c r="A103" s="57">
        <v>101</v>
      </c>
      <c r="B103" s="48" t="s">
        <v>726</v>
      </c>
      <c r="C103" s="48">
        <v>5</v>
      </c>
      <c r="D103" s="22" t="s">
        <v>8</v>
      </c>
      <c r="E103" s="21" t="str" cm="1">
        <f t="array" ref="E103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3" s="54" t="s">
        <v>594</v>
      </c>
      <c r="G103" s="21" t="str">
        <f>VLOOKUP(Table253[[#This Row],[Offical_ID]],Master_Roster[[Offical ID]:[Last Name]],3,FALSE)</f>
        <v>Ricky</v>
      </c>
      <c r="H103" s="21" t="s">
        <v>321</v>
      </c>
      <c r="I103" s="21">
        <v>811734</v>
      </c>
      <c r="J103" s="21" t="s">
        <v>717</v>
      </c>
      <c r="L103" s="97"/>
      <c r="M103" s="23"/>
      <c r="N103" s="23"/>
      <c r="O103" s="32"/>
      <c r="P103" s="23"/>
    </row>
    <row r="104" spans="1:16" x14ac:dyDescent="0.2">
      <c r="A104" s="57">
        <v>102</v>
      </c>
      <c r="B104" s="48" t="s">
        <v>726</v>
      </c>
      <c r="C104" s="48">
        <v>6</v>
      </c>
      <c r="D104" s="22" t="s">
        <v>270</v>
      </c>
      <c r="E104" s="21" t="str" cm="1">
        <f t="array" ref="E104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4" s="54" t="s">
        <v>617</v>
      </c>
      <c r="G104" s="21" t="str">
        <f>VLOOKUP(Table253[[#This Row],[Offical_ID]],Master_Roster[[Offical ID]:[Last Name]],3,FALSE)</f>
        <v>Jason</v>
      </c>
      <c r="H104" s="21" t="s">
        <v>321</v>
      </c>
      <c r="I104" s="21">
        <v>811735</v>
      </c>
      <c r="J104" s="21" t="s">
        <v>717</v>
      </c>
      <c r="L104" s="97"/>
      <c r="M104" s="23"/>
      <c r="N104" s="23"/>
      <c r="O104" s="32"/>
      <c r="P104" s="23"/>
    </row>
    <row r="105" spans="1:16" x14ac:dyDescent="0.2">
      <c r="A105" s="57">
        <v>103</v>
      </c>
      <c r="B105" s="48" t="s">
        <v>726</v>
      </c>
      <c r="C105" s="48">
        <v>7</v>
      </c>
      <c r="D105" s="22" t="s">
        <v>31</v>
      </c>
      <c r="E105" s="21" t="str" cm="1">
        <f t="array" ref="E105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5" s="54" t="s">
        <v>595</v>
      </c>
      <c r="G105" s="21" t="str">
        <f>VLOOKUP(Table253[[#This Row],[Offical_ID]],Master_Roster[[Offical ID]:[Last Name]],3,FALSE)</f>
        <v>Savion</v>
      </c>
      <c r="H105" s="21" t="s">
        <v>80</v>
      </c>
      <c r="I105" s="21">
        <v>814468</v>
      </c>
      <c r="J105" s="21" t="s">
        <v>716</v>
      </c>
      <c r="L105" s="97"/>
      <c r="M105" s="23"/>
      <c r="N105" s="23"/>
      <c r="O105" s="32"/>
      <c r="P105" s="23"/>
    </row>
    <row r="106" spans="1:16" x14ac:dyDescent="0.2">
      <c r="A106" s="57">
        <v>104</v>
      </c>
      <c r="B106" s="48" t="s">
        <v>726</v>
      </c>
      <c r="C106" s="48">
        <v>8</v>
      </c>
      <c r="D106" s="22" t="s">
        <v>41</v>
      </c>
      <c r="E106" s="21" t="str" cm="1">
        <f t="array" ref="E106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6" s="54" t="s">
        <v>597</v>
      </c>
      <c r="G106" s="21" t="str">
        <f>VLOOKUP(Table253[[#This Row],[Offical_ID]],Master_Roster[[Offical ID]:[Last Name]],3,FALSE)</f>
        <v>Rodney</v>
      </c>
      <c r="H106" s="21" t="s">
        <v>80</v>
      </c>
      <c r="I106" s="21">
        <v>811511</v>
      </c>
      <c r="J106" s="21" t="s">
        <v>716</v>
      </c>
      <c r="L106" s="97"/>
      <c r="M106" s="23"/>
      <c r="N106" s="23"/>
      <c r="O106" s="32"/>
      <c r="P106" s="23"/>
    </row>
    <row r="107" spans="1:16" x14ac:dyDescent="0.2">
      <c r="A107" s="57">
        <v>105</v>
      </c>
      <c r="B107" s="48" t="s">
        <v>726</v>
      </c>
      <c r="C107" s="48">
        <v>9</v>
      </c>
      <c r="D107" s="22" t="s">
        <v>16</v>
      </c>
      <c r="E107" s="21" t="str" cm="1">
        <f t="array" ref="E107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7" s="23" t="s">
        <v>596</v>
      </c>
      <c r="G107" s="23" t="str">
        <f>VLOOKUP(Table253[[#This Row],[Offical_ID]],Master_Roster[[Offical ID]:[Last Name]],3,FALSE)</f>
        <v>Jamar</v>
      </c>
      <c r="H107" s="23" t="s">
        <v>80</v>
      </c>
      <c r="I107" s="23">
        <v>811518</v>
      </c>
      <c r="J107" s="23" t="s">
        <v>716</v>
      </c>
      <c r="L107" s="97"/>
      <c r="M107" s="23"/>
      <c r="N107" s="23"/>
      <c r="O107" s="32"/>
      <c r="P107" s="23"/>
    </row>
    <row r="108" spans="1:16" x14ac:dyDescent="0.2">
      <c r="A108" s="57">
        <v>106</v>
      </c>
      <c r="B108" s="48" t="s">
        <v>726</v>
      </c>
      <c r="C108" s="48">
        <v>10</v>
      </c>
      <c r="D108" s="22" t="s">
        <v>15</v>
      </c>
      <c r="E108" s="21" t="str" cm="1">
        <f t="array" ref="E108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8" s="23" t="s">
        <v>616</v>
      </c>
      <c r="G108" s="23" t="str">
        <f>VLOOKUP(Table253[[#This Row],[Offical_ID]],Master_Roster[[Offical ID]:[Last Name]],3,FALSE)</f>
        <v>Gavin</v>
      </c>
      <c r="H108" s="23" t="s">
        <v>93</v>
      </c>
      <c r="I108" s="23">
        <v>811524</v>
      </c>
      <c r="J108" s="23" t="s">
        <v>716</v>
      </c>
    </row>
    <row r="109" spans="1:16" x14ac:dyDescent="0.2">
      <c r="A109" s="57">
        <v>107</v>
      </c>
      <c r="B109" s="48" t="s">
        <v>726</v>
      </c>
      <c r="C109" s="48">
        <v>11</v>
      </c>
      <c r="D109" s="22" t="s">
        <v>364</v>
      </c>
      <c r="E109" s="21" t="str" cm="1">
        <f t="array" ref="E109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09" s="23" t="s">
        <v>609</v>
      </c>
      <c r="G109" s="23" t="str">
        <f>VLOOKUP(Table253[[#This Row],[Offical_ID]],Master_Roster[[Offical ID]:[Last Name]],3,FALSE)</f>
        <v>Tim</v>
      </c>
      <c r="H109" s="23" t="s">
        <v>93</v>
      </c>
      <c r="I109" s="23">
        <v>811515</v>
      </c>
      <c r="J109" s="23" t="s">
        <v>716</v>
      </c>
    </row>
    <row r="110" spans="1:16" x14ac:dyDescent="0.2">
      <c r="A110" s="57">
        <v>108</v>
      </c>
      <c r="B110" s="48" t="s">
        <v>726</v>
      </c>
      <c r="C110" s="48">
        <v>12</v>
      </c>
      <c r="D110" s="22" t="s">
        <v>30</v>
      </c>
      <c r="E110" s="21" t="str" cm="1">
        <f t="array" ref="E110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Spec</v>
      </c>
      <c r="F110" s="23" t="s">
        <v>660</v>
      </c>
      <c r="G110" s="23" t="str">
        <f>VLOOKUP(Table253[[#This Row],[Offical_ID]],Master_Roster[[Offical ID]:[Last Name]],3,FALSE)</f>
        <v>Grant</v>
      </c>
      <c r="H110" s="23" t="s">
        <v>202</v>
      </c>
      <c r="I110" s="23" t="s">
        <v>709</v>
      </c>
      <c r="J110" s="23"/>
    </row>
    <row r="111" spans="1:16" x14ac:dyDescent="0.2">
      <c r="A111" s="57">
        <v>109</v>
      </c>
      <c r="B111" s="48" t="s">
        <v>726</v>
      </c>
      <c r="C111" s="48">
        <v>13</v>
      </c>
      <c r="D111" s="22" t="s">
        <v>34</v>
      </c>
      <c r="E111" s="21" t="str" cm="1">
        <f t="array" ref="E111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11" s="23" t="s">
        <v>607</v>
      </c>
      <c r="G111" s="23" t="str">
        <f>VLOOKUP(Table253[[#This Row],[Offical_ID]],Master_Roster[[Offical ID]:[Last Name]],3,FALSE)</f>
        <v>Cardell</v>
      </c>
      <c r="H111" s="23" t="s">
        <v>99</v>
      </c>
      <c r="I111" s="23">
        <v>811514</v>
      </c>
      <c r="J111" s="23" t="s">
        <v>716</v>
      </c>
    </row>
    <row r="112" spans="1:16" x14ac:dyDescent="0.2">
      <c r="A112" s="57">
        <v>110</v>
      </c>
      <c r="B112" s="48" t="s">
        <v>726</v>
      </c>
      <c r="C112" s="48">
        <v>14</v>
      </c>
      <c r="D112" s="22" t="s">
        <v>578</v>
      </c>
      <c r="E112" s="21" t="str" cm="1">
        <f t="array" ref="E112">_xlfn.IFS(OR(Table253[[#This Row],[Position]]="S",Table253[[#This Row],[Position]]="CB",Table253[[#This Row],[Position]]="RB",Table253[[#This Row],[Position]]="QB",Table253[[#This Row],[Position]]="WR"),"L",OR(Table253[[#This Row],[Position]]="ILB",Table253[[#This Row],[Position]]="OLB",Table253[[#This Row],[Position]]="TE"),"XL",OR(Table253[[#This Row],[Position]]="OL",Table253[[#This Row],[Position]]="DL"),"XXXL",OR(Table253[[#This Row],[Position]]="LS",Table253[[#This Row],[Position]]="K",Table253[[#This Row],[Position]]="P"),"Spec")</f>
        <v>L</v>
      </c>
      <c r="F112" s="55" t="s">
        <v>605</v>
      </c>
      <c r="G112" s="23" t="str">
        <f>VLOOKUP(Table253[[#This Row],[Offical_ID]],Master_Roster[[Offical ID]:[Last Name]],3,FALSE)</f>
        <v>Jamar</v>
      </c>
      <c r="H112" s="23" t="s">
        <v>99</v>
      </c>
      <c r="I112" s="23">
        <v>811737</v>
      </c>
      <c r="J112" s="23" t="s">
        <v>716</v>
      </c>
    </row>
  </sheetData>
  <phoneticPr fontId="11" type="noConversion"/>
  <printOptions horizontalCentered="1"/>
  <pageMargins left="0.25" right="0.25" top="0.25" bottom="0.25" header="0.3" footer="0.3"/>
  <pageSetup scale="68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20BF-B272-40A8-BE7D-3D729FD91042}">
  <sheetPr>
    <pageSetUpPr fitToPage="1"/>
  </sheetPr>
  <dimension ref="A1:J112"/>
  <sheetViews>
    <sheetView topLeftCell="A91" zoomScale="120" zoomScaleNormal="120" zoomScaleSheetLayoutView="100" workbookViewId="0">
      <selection activeCell="AC33" sqref="AC33"/>
    </sheetView>
  </sheetViews>
  <sheetFormatPr defaultRowHeight="15" x14ac:dyDescent="0.2"/>
  <cols>
    <col min="1" max="1" width="5.51171875" style="58" customWidth="1"/>
    <col min="2" max="2" width="10.76171875" style="28" customWidth="1"/>
    <col min="3" max="3" width="6.72265625" customWidth="1"/>
    <col min="4" max="4" width="30.66796875" style="9" customWidth="1"/>
    <col min="5" max="5" width="10.76171875" style="9" hidden="1" customWidth="1"/>
    <col min="6" max="6" width="16.27734375" style="9" hidden="1" customWidth="1"/>
    <col min="7" max="7" width="17.08203125" style="9" hidden="1" customWidth="1"/>
    <col min="8" max="8" width="9.14453125" style="9" hidden="1" customWidth="1"/>
    <col min="9" max="9" width="9.14453125" customWidth="1"/>
    <col min="10" max="10" width="9.14453125" hidden="1" customWidth="1"/>
  </cols>
  <sheetData>
    <row r="1" spans="1:10" x14ac:dyDescent="0.2">
      <c r="A1" s="56" t="s">
        <v>895</v>
      </c>
      <c r="B1" s="9" t="s">
        <v>714</v>
      </c>
      <c r="C1" s="9" t="s">
        <v>715</v>
      </c>
      <c r="D1" s="31" t="s">
        <v>311</v>
      </c>
      <c r="E1" s="61" t="s">
        <v>731</v>
      </c>
      <c r="F1" s="28" t="s">
        <v>710</v>
      </c>
      <c r="G1" t="s">
        <v>723</v>
      </c>
      <c r="H1" s="9" t="s">
        <v>74</v>
      </c>
      <c r="I1" s="9" t="s">
        <v>711</v>
      </c>
      <c r="J1" s="9" t="s">
        <v>718</v>
      </c>
    </row>
    <row r="2" spans="1:10" ht="15" customHeight="1" x14ac:dyDescent="0.2">
      <c r="A2" s="57">
        <v>1</v>
      </c>
      <c r="B2" s="48" t="s">
        <v>724</v>
      </c>
      <c r="C2" s="48">
        <v>1</v>
      </c>
      <c r="D2" s="22" t="s">
        <v>69</v>
      </c>
      <c r="E2" s="21" t="str" cm="1">
        <f t="array" ref="E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2" s="54" t="s">
        <v>659</v>
      </c>
      <c r="G2" s="21" t="str">
        <f>VLOOKUP(Table2535[[#This Row],[Offical_ID]],Master_Roster[[Offical ID]:[Last Name]],3,FALSE)</f>
        <v>Jojo</v>
      </c>
      <c r="H2" s="21" t="s">
        <v>351</v>
      </c>
      <c r="I2" s="21">
        <v>814328</v>
      </c>
      <c r="J2" s="21" t="s">
        <v>717</v>
      </c>
    </row>
    <row r="3" spans="1:10" ht="15" customHeight="1" x14ac:dyDescent="0.2">
      <c r="A3" s="57">
        <v>2</v>
      </c>
      <c r="B3" s="48" t="s">
        <v>724</v>
      </c>
      <c r="C3" s="48">
        <v>2</v>
      </c>
      <c r="D3" s="22" t="s">
        <v>282</v>
      </c>
      <c r="E3" s="21" t="str" cm="1">
        <f t="array" ref="E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3" s="54" t="s">
        <v>638</v>
      </c>
      <c r="G3" s="21" t="str">
        <f>VLOOKUP(Table2535[[#This Row],[Offical_ID]],Master_Roster[[Offical ID]:[Last Name]],3,FALSE)</f>
        <v>Jaquail</v>
      </c>
      <c r="H3" s="21" t="s">
        <v>80</v>
      </c>
      <c r="I3" s="21">
        <v>814339</v>
      </c>
      <c r="J3" s="21" t="s">
        <v>716</v>
      </c>
    </row>
    <row r="4" spans="1:10" ht="15" customHeight="1" x14ac:dyDescent="0.2">
      <c r="A4" s="57">
        <v>3</v>
      </c>
      <c r="B4" s="48" t="s">
        <v>724</v>
      </c>
      <c r="C4" s="48">
        <v>3</v>
      </c>
      <c r="D4" s="22" t="s">
        <v>304</v>
      </c>
      <c r="E4" s="21" t="str" cm="1">
        <f t="array" ref="E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4" s="54" t="s">
        <v>697</v>
      </c>
      <c r="G4" s="21" t="str">
        <f>VLOOKUP(Table2535[[#This Row],[Offical_ID]],Master_Roster[[Offical ID]:[Last Name]],3,FALSE)</f>
        <v>Malachi</v>
      </c>
      <c r="H4" s="21" t="s">
        <v>88</v>
      </c>
      <c r="I4" s="21">
        <v>814591</v>
      </c>
      <c r="J4" s="21" t="s">
        <v>717</v>
      </c>
    </row>
    <row r="5" spans="1:10" ht="15" customHeight="1" x14ac:dyDescent="0.2">
      <c r="A5" s="57">
        <v>4</v>
      </c>
      <c r="B5" s="48" t="s">
        <v>724</v>
      </c>
      <c r="C5" s="48">
        <v>4</v>
      </c>
      <c r="D5" s="22" t="s">
        <v>305</v>
      </c>
      <c r="E5" s="21" t="str" cm="1">
        <f t="array" ref="E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5" s="54" t="s">
        <v>698</v>
      </c>
      <c r="G5" s="21" t="str">
        <f>VLOOKUP(Table2535[[#This Row],[Offical_ID]],Master_Roster[[Offical ID]:[Last Name]],3,FALSE)</f>
        <v>Micah</v>
      </c>
      <c r="H5" s="21" t="s">
        <v>338</v>
      </c>
      <c r="I5" s="21">
        <v>814296</v>
      </c>
      <c r="J5" s="21" t="s">
        <v>717</v>
      </c>
    </row>
    <row r="6" spans="1:10" ht="15" customHeight="1" x14ac:dyDescent="0.2">
      <c r="A6" s="57">
        <v>5</v>
      </c>
      <c r="B6" s="48" t="s">
        <v>724</v>
      </c>
      <c r="C6" s="48">
        <v>5</v>
      </c>
      <c r="D6" s="22" t="s">
        <v>50</v>
      </c>
      <c r="E6" s="21" t="s">
        <v>732</v>
      </c>
      <c r="F6" s="54" t="s">
        <v>673</v>
      </c>
      <c r="G6" s="21" t="str">
        <f>VLOOKUP(Table2535[[#This Row],[Offical_ID]],Master_Roster[[Offical ID]:[Last Name]],3,FALSE)</f>
        <v>Giovanni</v>
      </c>
      <c r="H6" s="21" t="s">
        <v>205</v>
      </c>
      <c r="I6" s="21">
        <v>814449</v>
      </c>
      <c r="J6" s="21" t="s">
        <v>716</v>
      </c>
    </row>
    <row r="7" spans="1:10" ht="15" customHeight="1" x14ac:dyDescent="0.2">
      <c r="A7" s="57">
        <v>6</v>
      </c>
      <c r="B7" s="48" t="s">
        <v>724</v>
      </c>
      <c r="C7" s="48">
        <v>6</v>
      </c>
      <c r="D7" s="22" t="s">
        <v>25</v>
      </c>
      <c r="E7" s="21" t="str" cm="1">
        <f t="array" ref="E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7" s="54" t="s">
        <v>634</v>
      </c>
      <c r="G7" s="21" t="str">
        <f>VLOOKUP(Table2535[[#This Row],[Offical_ID]],Master_Roster[[Offical ID]:[Last Name]],3,FALSE)</f>
        <v>Adam</v>
      </c>
      <c r="H7" s="21" t="s">
        <v>321</v>
      </c>
      <c r="I7" s="21">
        <v>814341</v>
      </c>
      <c r="J7" s="21" t="s">
        <v>717</v>
      </c>
    </row>
    <row r="8" spans="1:10" ht="15" customHeight="1" x14ac:dyDescent="0.2">
      <c r="A8" s="57">
        <v>7</v>
      </c>
      <c r="B8" s="48" t="s">
        <v>724</v>
      </c>
      <c r="C8" s="48">
        <v>7</v>
      </c>
      <c r="D8" s="22" t="s">
        <v>12</v>
      </c>
      <c r="E8" s="21" t="str" cm="1">
        <f t="array" ref="E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" s="54" t="s">
        <v>622</v>
      </c>
      <c r="G8" s="21" t="str">
        <f>VLOOKUP(Table2535[[#This Row],[Offical_ID]],Master_Roster[[Offical ID]:[Last Name]],3,FALSE)</f>
        <v>Drey</v>
      </c>
      <c r="H8" s="21" t="s">
        <v>93</v>
      </c>
      <c r="I8" s="21">
        <v>814344</v>
      </c>
      <c r="J8" s="21" t="s">
        <v>716</v>
      </c>
    </row>
    <row r="9" spans="1:10" ht="15" customHeight="1" x14ac:dyDescent="0.2">
      <c r="A9" s="57">
        <v>8</v>
      </c>
      <c r="B9" s="48" t="s">
        <v>724</v>
      </c>
      <c r="C9" s="48">
        <v>8</v>
      </c>
      <c r="D9" s="22" t="s">
        <v>6</v>
      </c>
      <c r="E9" s="21" t="str" cm="1">
        <f t="array" ref="E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" s="54" t="s">
        <v>637</v>
      </c>
      <c r="G9" s="21" t="str">
        <f>VLOOKUP(Table2535[[#This Row],[Offical_ID]],Master_Roster[[Offical ID]:[Last Name]],3,FALSE)</f>
        <v>Elias</v>
      </c>
      <c r="H9" s="21" t="s">
        <v>321</v>
      </c>
      <c r="I9" s="21">
        <v>811738</v>
      </c>
      <c r="J9" s="21" t="s">
        <v>717</v>
      </c>
    </row>
    <row r="10" spans="1:10" ht="15" customHeight="1" x14ac:dyDescent="0.2">
      <c r="A10" s="57">
        <v>9</v>
      </c>
      <c r="B10" s="48" t="s">
        <v>724</v>
      </c>
      <c r="C10" s="48">
        <v>9</v>
      </c>
      <c r="D10" s="22" t="s">
        <v>186</v>
      </c>
      <c r="E10" s="21" t="str" cm="1">
        <f t="array" ref="E1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Spec</v>
      </c>
      <c r="F10" s="21" t="s">
        <v>651</v>
      </c>
      <c r="G10" s="21" t="str">
        <f>VLOOKUP(Table2535[[#This Row],[Offical_ID]],Master_Roster[[Offical ID]:[Last Name]],3,FALSE)</f>
        <v>Connor</v>
      </c>
      <c r="H10" s="21" t="s">
        <v>188</v>
      </c>
      <c r="I10" s="21" t="s">
        <v>709</v>
      </c>
      <c r="J10" s="21"/>
    </row>
    <row r="11" spans="1:10" ht="15" customHeight="1" x14ac:dyDescent="0.2">
      <c r="A11" s="57">
        <v>10</v>
      </c>
      <c r="B11" s="48" t="s">
        <v>724</v>
      </c>
      <c r="C11" s="48">
        <v>10</v>
      </c>
      <c r="D11" s="22" t="s">
        <v>71</v>
      </c>
      <c r="E11" s="21" t="str" cm="1">
        <f t="array" ref="E1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1" s="54" t="s">
        <v>621</v>
      </c>
      <c r="G11" s="21" t="str">
        <f>VLOOKUP(Table2535[[#This Row],[Offical_ID]],Master_Roster[[Offical ID]:[Last Name]],3,FALSE)</f>
        <v>Curron</v>
      </c>
      <c r="H11" s="21" t="s">
        <v>80</v>
      </c>
      <c r="I11" s="21">
        <v>814630</v>
      </c>
      <c r="J11" s="21" t="s">
        <v>716</v>
      </c>
    </row>
    <row r="12" spans="1:10" ht="15" customHeight="1" x14ac:dyDescent="0.2">
      <c r="A12" s="57">
        <v>11</v>
      </c>
      <c r="B12" s="48" t="s">
        <v>724</v>
      </c>
      <c r="C12" s="48">
        <v>11</v>
      </c>
      <c r="D12" s="22" t="s">
        <v>271</v>
      </c>
      <c r="E12" s="21" t="str" cm="1">
        <f t="array" ref="E1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2" s="54"/>
      <c r="G12" s="21" t="e">
        <f>VLOOKUP(Table2535[[#This Row],[Offical_ID]],Master_Roster[[Offical ID]:[Last Name]],3,FALSE)</f>
        <v>#N/A</v>
      </c>
      <c r="H12" s="21" t="s">
        <v>93</v>
      </c>
      <c r="I12" s="21">
        <v>814595</v>
      </c>
      <c r="J12" s="21" t="s">
        <v>716</v>
      </c>
    </row>
    <row r="13" spans="1:10" ht="15" customHeight="1" x14ac:dyDescent="0.2">
      <c r="A13" s="57">
        <v>12</v>
      </c>
      <c r="B13" s="48" t="s">
        <v>724</v>
      </c>
      <c r="C13" s="48">
        <v>12</v>
      </c>
      <c r="D13" s="22" t="s">
        <v>46</v>
      </c>
      <c r="E13" s="21" t="str" cm="1">
        <f t="array" ref="E1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3" s="21" t="s">
        <v>628</v>
      </c>
      <c r="G13" s="21" t="str">
        <f>VLOOKUP(Table2535[[#This Row],[Offical_ID]],Master_Roster[[Offical ID]:[Last Name]],3,FALSE)</f>
        <v>Ajon</v>
      </c>
      <c r="H13" s="21" t="s">
        <v>80</v>
      </c>
      <c r="I13" s="21">
        <v>811733</v>
      </c>
      <c r="J13" s="21" t="s">
        <v>716</v>
      </c>
    </row>
    <row r="14" spans="1:10" ht="15" customHeight="1" x14ac:dyDescent="0.2">
      <c r="A14" s="57">
        <v>13</v>
      </c>
      <c r="B14" s="48" t="s">
        <v>724</v>
      </c>
      <c r="C14" s="48">
        <v>13</v>
      </c>
      <c r="D14" s="22" t="s">
        <v>13</v>
      </c>
      <c r="E14" s="21" t="str" cm="1">
        <f t="array" ref="E1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4" s="54" t="s">
        <v>685</v>
      </c>
      <c r="G14" s="21" t="str">
        <f>VLOOKUP(Table2535[[#This Row],[Offical_ID]],Master_Roster[[Offical ID]:[Last Name]],3,FALSE)</f>
        <v>Trey</v>
      </c>
      <c r="H14" s="21" t="s">
        <v>93</v>
      </c>
      <c r="I14" s="21">
        <v>814604</v>
      </c>
      <c r="J14" s="21" t="s">
        <v>716</v>
      </c>
    </row>
    <row r="15" spans="1:10" ht="15" customHeight="1" x14ac:dyDescent="0.2">
      <c r="A15" s="57">
        <v>14</v>
      </c>
      <c r="B15" s="48" t="s">
        <v>724</v>
      </c>
      <c r="C15" s="48">
        <v>14</v>
      </c>
      <c r="D15" s="22" t="s">
        <v>287</v>
      </c>
      <c r="E15" s="21" t="str" cm="1">
        <f t="array" ref="E1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15" s="21" t="s">
        <v>647</v>
      </c>
      <c r="G15" s="21" t="str">
        <f>VLOOKUP(Table2535[[#This Row],[Offical_ID]],Master_Roster[[Offical ID]:[Last Name]],3,FALSE)</f>
        <v>Jackson</v>
      </c>
      <c r="H15" s="21" t="s">
        <v>425</v>
      </c>
      <c r="I15" s="21">
        <v>814332</v>
      </c>
      <c r="J15" s="21" t="s">
        <v>717</v>
      </c>
    </row>
    <row r="16" spans="1:10" ht="15" customHeight="1" x14ac:dyDescent="0.2">
      <c r="A16" s="57">
        <v>15</v>
      </c>
      <c r="B16" s="48" t="s">
        <v>724</v>
      </c>
      <c r="C16" s="48">
        <v>15</v>
      </c>
      <c r="D16" s="22" t="s">
        <v>4</v>
      </c>
      <c r="E16" s="21" t="str" cm="1">
        <f t="array" ref="E1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16" s="54" t="s">
        <v>648</v>
      </c>
      <c r="G16" s="21" t="str">
        <f>VLOOKUP(Table2535[[#This Row],[Offical_ID]],Master_Roster[[Offical ID]:[Last Name]],3,FALSE)</f>
        <v>Alex</v>
      </c>
      <c r="H16" s="21" t="s">
        <v>425</v>
      </c>
      <c r="I16" s="21">
        <v>811520</v>
      </c>
      <c r="J16" s="21" t="s">
        <v>717</v>
      </c>
    </row>
    <row r="17" spans="1:10" ht="15" customHeight="1" x14ac:dyDescent="0.2">
      <c r="A17" s="57">
        <v>16</v>
      </c>
      <c r="B17" s="48" t="s">
        <v>724</v>
      </c>
      <c r="C17" s="48">
        <v>16</v>
      </c>
      <c r="D17" s="22" t="s">
        <v>285</v>
      </c>
      <c r="E17" s="21" t="str" cm="1">
        <f t="array" ref="E1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17" s="21" t="s">
        <v>643</v>
      </c>
      <c r="G17" s="21" t="str">
        <f>VLOOKUP(Table2535[[#This Row],[Offical_ID]],Master_Roster[[Offical ID]:[Last Name]],3,FALSE)</f>
        <v>Mike</v>
      </c>
      <c r="H17" s="21" t="s">
        <v>425</v>
      </c>
      <c r="I17" s="21">
        <v>814335</v>
      </c>
      <c r="J17" s="21" t="s">
        <v>717</v>
      </c>
    </row>
    <row r="18" spans="1:10" ht="15" customHeight="1" x14ac:dyDescent="0.2">
      <c r="A18" s="57">
        <v>17</v>
      </c>
      <c r="B18" s="48" t="s">
        <v>724</v>
      </c>
      <c r="C18" s="48">
        <v>17</v>
      </c>
      <c r="D18" s="22" t="s">
        <v>463</v>
      </c>
      <c r="E18" s="21" t="str" cm="1">
        <f t="array" ref="E1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8" s="54" t="s">
        <v>644</v>
      </c>
      <c r="G18" s="21" t="str">
        <f>VLOOKUP(Table2535[[#This Row],[Offical_ID]],Master_Roster[[Offical ID]:[Last Name]],3,FALSE)</f>
        <v>KJ</v>
      </c>
      <c r="H18" s="21" t="s">
        <v>351</v>
      </c>
      <c r="I18" s="21">
        <v>814334</v>
      </c>
      <c r="J18" s="21" t="s">
        <v>717</v>
      </c>
    </row>
    <row r="19" spans="1:10" ht="15" customHeight="1" x14ac:dyDescent="0.2">
      <c r="A19" s="57">
        <v>18</v>
      </c>
      <c r="B19" s="48" t="s">
        <v>724</v>
      </c>
      <c r="C19" s="48">
        <v>18</v>
      </c>
      <c r="D19" s="22" t="s">
        <v>0</v>
      </c>
      <c r="E19" s="21" t="str" cm="1">
        <f t="array" ref="E1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9" s="21" t="s">
        <v>629</v>
      </c>
      <c r="G19" s="21" t="e">
        <f>VLOOKUP(Table2535[[#This Row],[Offical_ID]],Master_Roster[[Offical ID]:[Last Name]],3,FALSE)</f>
        <v>#N/A</v>
      </c>
      <c r="H19" s="21" t="s">
        <v>351</v>
      </c>
      <c r="I19" s="21">
        <v>811730</v>
      </c>
      <c r="J19" s="21" t="s">
        <v>717</v>
      </c>
    </row>
    <row r="20" spans="1:10" ht="15" customHeight="1" x14ac:dyDescent="0.2">
      <c r="A20" s="57">
        <v>19</v>
      </c>
      <c r="B20" s="48" t="s">
        <v>724</v>
      </c>
      <c r="C20" s="48">
        <v>19</v>
      </c>
      <c r="D20" s="22" t="s">
        <v>454</v>
      </c>
      <c r="E20" s="21" t="str" cm="1">
        <f t="array" ref="E2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20" s="54" t="s">
        <v>642</v>
      </c>
      <c r="G20" s="21" t="str">
        <f>VLOOKUP(Table2535[[#This Row],[Offical_ID]],Master_Roster[[Offical ID]:[Last Name]],3,FALSE)</f>
        <v>Naytel</v>
      </c>
      <c r="H20" s="21" t="s">
        <v>351</v>
      </c>
      <c r="I20" s="21">
        <v>814336</v>
      </c>
      <c r="J20" s="21" t="s">
        <v>717</v>
      </c>
    </row>
    <row r="21" spans="1:10" ht="15" customHeight="1" x14ac:dyDescent="0.2">
      <c r="A21" s="57">
        <v>20</v>
      </c>
      <c r="B21" s="48" t="s">
        <v>724</v>
      </c>
      <c r="C21" s="48">
        <v>20</v>
      </c>
      <c r="D21" s="22" t="s">
        <v>290</v>
      </c>
      <c r="E21" s="21" t="str" cm="1">
        <f t="array" ref="E2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21" s="23" t="s">
        <v>654</v>
      </c>
      <c r="G21" s="23" t="str">
        <f>VLOOKUP(Table2535[[#This Row],[Offical_ID]],Master_Roster[[Offical ID]:[Last Name]],3,FALSE)</f>
        <v>Caleb</v>
      </c>
      <c r="H21" s="23" t="s">
        <v>321</v>
      </c>
      <c r="I21" s="23">
        <v>814330</v>
      </c>
      <c r="J21" s="23" t="s">
        <v>717</v>
      </c>
    </row>
    <row r="22" spans="1:10" ht="15" customHeight="1" x14ac:dyDescent="0.2">
      <c r="A22" s="57">
        <v>20.5</v>
      </c>
      <c r="B22" s="48" t="s">
        <v>726</v>
      </c>
      <c r="C22" s="48">
        <v>15</v>
      </c>
      <c r="D22" s="22" t="s">
        <v>893</v>
      </c>
      <c r="E22" s="21" t="s">
        <v>892</v>
      </c>
      <c r="F22" s="54"/>
      <c r="G22" s="21" t="e">
        <f>VLOOKUP(Table2535[[#This Row],[Offical_ID]],Master_Roster[[Offical ID]:[Last Name]],3,FALSE)</f>
        <v>#N/A</v>
      </c>
      <c r="H22" s="21" t="s">
        <v>871</v>
      </c>
      <c r="I22" s="21">
        <v>814602</v>
      </c>
      <c r="J22" s="21" t="s">
        <v>717</v>
      </c>
    </row>
    <row r="23" spans="1:10" ht="15" customHeight="1" x14ac:dyDescent="0.2">
      <c r="A23" s="57">
        <v>21</v>
      </c>
      <c r="B23" s="48" t="s">
        <v>724</v>
      </c>
      <c r="C23" s="48">
        <v>21</v>
      </c>
      <c r="D23" s="22" t="s">
        <v>301</v>
      </c>
      <c r="E23" s="21" t="str" cm="1">
        <f t="array" ref="E2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23" s="54" t="s">
        <v>692</v>
      </c>
      <c r="G23" s="21" t="str">
        <f>VLOOKUP(Table2535[[#This Row],[Offical_ID]],Master_Roster[[Offical ID]:[Last Name]],3,FALSE)</f>
        <v>Bear</v>
      </c>
      <c r="H23" s="21" t="s">
        <v>139</v>
      </c>
      <c r="I23" s="21">
        <v>814600</v>
      </c>
      <c r="J23" s="21" t="s">
        <v>716</v>
      </c>
    </row>
    <row r="24" spans="1:10" ht="15" customHeight="1" x14ac:dyDescent="0.2">
      <c r="A24" s="57">
        <v>22</v>
      </c>
      <c r="B24" s="48" t="s">
        <v>724</v>
      </c>
      <c r="C24" s="48">
        <v>22</v>
      </c>
      <c r="D24" s="22" t="s">
        <v>70</v>
      </c>
      <c r="E24" s="21" t="str" cm="1">
        <f t="array" ref="E2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24" s="54" t="s">
        <v>690</v>
      </c>
      <c r="G24" s="21" t="str">
        <f>VLOOKUP(Table2535[[#This Row],[Offical_ID]],Master_Roster[[Offical ID]:[Last Name]],3,FALSE)</f>
        <v>Davis</v>
      </c>
      <c r="H24" s="21" t="s">
        <v>139</v>
      </c>
      <c r="I24" s="21">
        <v>814601</v>
      </c>
      <c r="J24" s="21" t="s">
        <v>716</v>
      </c>
    </row>
    <row r="25" spans="1:10" ht="15" customHeight="1" x14ac:dyDescent="0.2">
      <c r="A25" s="57">
        <v>23</v>
      </c>
      <c r="B25" s="48" t="s">
        <v>724</v>
      </c>
      <c r="C25" s="48">
        <v>23</v>
      </c>
      <c r="D25" s="22" t="s">
        <v>11</v>
      </c>
      <c r="E25" s="21" t="str" cm="1">
        <f t="array" ref="E2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25" s="54" t="s">
        <v>641</v>
      </c>
      <c r="G25" s="21" t="str">
        <f>VLOOKUP(Table2535[[#This Row],[Offical_ID]],Master_Roster[[Offical ID]:[Last Name]],3,FALSE)</f>
        <v>Lono</v>
      </c>
      <c r="H25" s="21" t="s">
        <v>351</v>
      </c>
      <c r="I25" s="21">
        <v>814627</v>
      </c>
      <c r="J25" s="21" t="s">
        <v>717</v>
      </c>
    </row>
    <row r="26" spans="1:10" ht="15" customHeight="1" x14ac:dyDescent="0.2">
      <c r="A26" s="57">
        <v>24</v>
      </c>
      <c r="B26" s="48" t="s">
        <v>724</v>
      </c>
      <c r="C26" s="48">
        <v>24</v>
      </c>
      <c r="D26" s="22" t="s">
        <v>3</v>
      </c>
      <c r="E26" s="21" t="str" cm="1">
        <f t="array" ref="E2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26" s="54" t="s">
        <v>650</v>
      </c>
      <c r="G26" s="21" t="str">
        <f>VLOOKUP(Table2535[[#This Row],[Offical_ID]],Master_Roster[[Offical ID]:[Last Name]],3,FALSE)</f>
        <v>Hunter</v>
      </c>
      <c r="H26" s="21" t="s">
        <v>425</v>
      </c>
      <c r="I26" s="21">
        <v>814469</v>
      </c>
      <c r="J26" s="21" t="s">
        <v>717</v>
      </c>
    </row>
    <row r="27" spans="1:10" ht="15" customHeight="1" x14ac:dyDescent="0.2">
      <c r="A27" s="57">
        <v>25</v>
      </c>
      <c r="B27" s="100" t="s">
        <v>725</v>
      </c>
      <c r="C27" s="100">
        <v>1</v>
      </c>
      <c r="D27" s="22" t="s">
        <v>9</v>
      </c>
      <c r="E27" s="21" t="str" cm="1">
        <f t="array" ref="E2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27" s="54" t="s">
        <v>640</v>
      </c>
      <c r="G27" s="21" t="str">
        <f>VLOOKUP(Table2535[[#This Row],[Offical_ID]],Master_Roster[[Offical ID]:[Last Name]],3,FALSE)</f>
        <v>Lamont</v>
      </c>
      <c r="H27" s="21" t="s">
        <v>321</v>
      </c>
      <c r="I27" s="21">
        <v>810862</v>
      </c>
      <c r="J27" s="21" t="s">
        <v>717</v>
      </c>
    </row>
    <row r="28" spans="1:10" ht="15" customHeight="1" x14ac:dyDescent="0.2">
      <c r="A28" s="57">
        <v>26</v>
      </c>
      <c r="B28" s="48" t="s">
        <v>725</v>
      </c>
      <c r="C28" s="48">
        <v>2</v>
      </c>
      <c r="D28" s="22" t="s">
        <v>2</v>
      </c>
      <c r="E28" s="21" t="str" cm="1">
        <f t="array" ref="E2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28" s="54" t="s">
        <v>631</v>
      </c>
      <c r="G28" s="21" t="str">
        <f>VLOOKUP(Table2535[[#This Row],[Offical_ID]],Master_Roster[[Offical ID]:[Last Name]],3,FALSE)</f>
        <v>Fata</v>
      </c>
      <c r="H28" s="21" t="s">
        <v>338</v>
      </c>
      <c r="I28" s="21">
        <v>811732</v>
      </c>
      <c r="J28" s="21" t="s">
        <v>717</v>
      </c>
    </row>
    <row r="29" spans="1:10" ht="15" customHeight="1" x14ac:dyDescent="0.2">
      <c r="A29" s="57">
        <v>27</v>
      </c>
      <c r="B29" s="48" t="s">
        <v>725</v>
      </c>
      <c r="C29" s="48">
        <v>3</v>
      </c>
      <c r="D29" s="22" t="s">
        <v>298</v>
      </c>
      <c r="E29" s="21" t="str" cm="1">
        <f t="array" ref="E2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29" s="54" t="s">
        <v>686</v>
      </c>
      <c r="G29" s="21" t="str">
        <f>VLOOKUP(Table2535[[#This Row],[Offical_ID]],Master_Roster[[Offical ID]:[Last Name]],3,FALSE)</f>
        <v>Tre</v>
      </c>
      <c r="H29" s="21" t="s">
        <v>93</v>
      </c>
      <c r="I29" s="21">
        <v>814603</v>
      </c>
      <c r="J29" s="21" t="s">
        <v>716</v>
      </c>
    </row>
    <row r="30" spans="1:10" ht="15" customHeight="1" x14ac:dyDescent="0.2">
      <c r="A30" s="57">
        <v>28</v>
      </c>
      <c r="B30" s="48" t="s">
        <v>725</v>
      </c>
      <c r="C30" s="48">
        <v>4</v>
      </c>
      <c r="D30" s="22" t="s">
        <v>19</v>
      </c>
      <c r="E30" s="21" t="str" cm="1">
        <f t="array" ref="E3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30" s="54" t="s">
        <v>687</v>
      </c>
      <c r="G30" s="21" t="str">
        <f>VLOOKUP(Table2535[[#This Row],[Offical_ID]],Master_Roster[[Offical ID]:[Last Name]],3,FALSE)</f>
        <v>Jaxon</v>
      </c>
      <c r="H30" s="21" t="s">
        <v>93</v>
      </c>
      <c r="I30" s="21">
        <v>811740</v>
      </c>
      <c r="J30" s="21" t="s">
        <v>716</v>
      </c>
    </row>
    <row r="31" spans="1:10" ht="15" customHeight="1" x14ac:dyDescent="0.2">
      <c r="A31" s="57">
        <v>29</v>
      </c>
      <c r="B31" s="48" t="s">
        <v>725</v>
      </c>
      <c r="C31" s="48">
        <v>5</v>
      </c>
      <c r="D31" s="22" t="s">
        <v>279</v>
      </c>
      <c r="E31" s="21" t="str" cm="1">
        <f t="array" ref="E3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31" s="54" t="s">
        <v>630</v>
      </c>
      <c r="G31" s="21" t="str">
        <f>VLOOKUP(Table2535[[#This Row],[Offical_ID]],Master_Roster[[Offical ID]:[Last Name]],3,FALSE)</f>
        <v>Tye</v>
      </c>
      <c r="H31" s="21" t="s">
        <v>93</v>
      </c>
      <c r="I31" s="21">
        <v>814342</v>
      </c>
      <c r="J31" s="21" t="s">
        <v>716</v>
      </c>
    </row>
    <row r="32" spans="1:10" ht="15" customHeight="1" x14ac:dyDescent="0.2">
      <c r="A32" s="57">
        <v>30</v>
      </c>
      <c r="B32" s="48" t="s">
        <v>725</v>
      </c>
      <c r="C32" s="48">
        <v>6</v>
      </c>
      <c r="D32" s="22" t="s">
        <v>291</v>
      </c>
      <c r="E32" s="21" t="str" cm="1">
        <f t="array" ref="E3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32" s="54" t="s">
        <v>661</v>
      </c>
      <c r="G32" s="21" t="str">
        <f>VLOOKUP(Table2535[[#This Row],[Offical_ID]],Master_Roster[[Offical ID]:[Last Name]],3,FALSE)</f>
        <v>Joseph</v>
      </c>
      <c r="H32" s="21" t="s">
        <v>205</v>
      </c>
      <c r="I32" s="21">
        <v>814327</v>
      </c>
      <c r="J32" s="21" t="s">
        <v>716</v>
      </c>
    </row>
    <row r="33" spans="1:10" ht="15" customHeight="1" x14ac:dyDescent="0.2">
      <c r="A33" s="57">
        <v>31</v>
      </c>
      <c r="B33" s="48" t="s">
        <v>725</v>
      </c>
      <c r="C33" s="48">
        <v>7</v>
      </c>
      <c r="D33" s="22" t="s">
        <v>51</v>
      </c>
      <c r="E33" s="21" t="str" cm="1">
        <f t="array" ref="E3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33" s="54" t="s">
        <v>663</v>
      </c>
      <c r="G33" s="21" t="str">
        <f>VLOOKUP(Table2535[[#This Row],[Offical_ID]],Master_Roster[[Offical ID]:[Last Name]],3,FALSE)</f>
        <v>Elijah</v>
      </c>
      <c r="H33" s="21" t="s">
        <v>205</v>
      </c>
      <c r="I33" s="21">
        <v>814613</v>
      </c>
      <c r="J33" s="21" t="s">
        <v>716</v>
      </c>
    </row>
    <row r="34" spans="1:10" ht="15" customHeight="1" x14ac:dyDescent="0.2">
      <c r="A34" s="57">
        <v>32</v>
      </c>
      <c r="B34" s="48" t="s">
        <v>725</v>
      </c>
      <c r="C34" s="48">
        <v>8</v>
      </c>
      <c r="D34" s="22" t="s">
        <v>293</v>
      </c>
      <c r="E34" s="21" t="str" cm="1">
        <f t="array" ref="E3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34" s="54" t="s">
        <v>669</v>
      </c>
      <c r="G34" s="21" t="str">
        <f>VLOOKUP(Table2535[[#This Row],[Offical_ID]],Master_Roster[[Offical ID]:[Last Name]],3,FALSE)</f>
        <v>Graysen</v>
      </c>
      <c r="H34" s="21" t="s">
        <v>205</v>
      </c>
      <c r="I34" s="21">
        <v>814333</v>
      </c>
      <c r="J34" s="21" t="s">
        <v>716</v>
      </c>
    </row>
    <row r="35" spans="1:10" ht="15" customHeight="1" x14ac:dyDescent="0.2">
      <c r="A35" s="57">
        <v>33</v>
      </c>
      <c r="B35" s="48" t="s">
        <v>725</v>
      </c>
      <c r="C35" s="48">
        <v>9</v>
      </c>
      <c r="D35" s="22" t="s">
        <v>294</v>
      </c>
      <c r="E35" s="21" t="str" cm="1">
        <f t="array" ref="E3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35" s="54" t="s">
        <v>676</v>
      </c>
      <c r="G35" s="21" t="str">
        <f>VLOOKUP(Table2535[[#This Row],[Offical_ID]],Master_Roster[[Offical ID]:[Last Name]],3,FALSE)</f>
        <v>Jaxon</v>
      </c>
      <c r="H35" s="21" t="s">
        <v>205</v>
      </c>
      <c r="I35" s="21">
        <v>814452</v>
      </c>
      <c r="J35" s="21" t="s">
        <v>716</v>
      </c>
    </row>
    <row r="36" spans="1:10" ht="15" customHeight="1" x14ac:dyDescent="0.2">
      <c r="A36" s="57">
        <v>34</v>
      </c>
      <c r="B36" s="48" t="s">
        <v>725</v>
      </c>
      <c r="C36" s="48">
        <v>10</v>
      </c>
      <c r="D36" s="22" t="s">
        <v>275</v>
      </c>
      <c r="E36" s="21" t="str" cm="1">
        <f t="array" ref="E3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36" s="54" t="s">
        <v>615</v>
      </c>
      <c r="G36" s="21" t="str">
        <f>VLOOKUP(Table2535[[#This Row],[Offical_ID]],Master_Roster[[Offical ID]:[Last Name]],3,FALSE)</f>
        <v>Jamal</v>
      </c>
      <c r="H36" s="21" t="s">
        <v>351</v>
      </c>
      <c r="I36" s="21">
        <v>814628</v>
      </c>
      <c r="J36" s="21" t="s">
        <v>717</v>
      </c>
    </row>
    <row r="37" spans="1:10" ht="15" customHeight="1" x14ac:dyDescent="0.2">
      <c r="A37" s="57">
        <v>35</v>
      </c>
      <c r="B37" s="48" t="s">
        <v>725</v>
      </c>
      <c r="C37" s="48">
        <v>11</v>
      </c>
      <c r="D37" s="22" t="s">
        <v>35</v>
      </c>
      <c r="E37" s="21" t="str" cm="1">
        <f t="array" ref="E3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37" s="54" t="s">
        <v>689</v>
      </c>
      <c r="G37" s="21" t="str">
        <f>VLOOKUP(Table2535[[#This Row],[Offical_ID]],Master_Roster[[Offical ID]:[Last Name]],3,FALSE)</f>
        <v>Elijah</v>
      </c>
      <c r="H37" s="21" t="s">
        <v>139</v>
      </c>
      <c r="I37" s="21">
        <v>814346</v>
      </c>
      <c r="J37" s="21" t="s">
        <v>716</v>
      </c>
    </row>
    <row r="38" spans="1:10" ht="15" customHeight="1" x14ac:dyDescent="0.2">
      <c r="A38" s="57">
        <v>36</v>
      </c>
      <c r="B38" s="48" t="s">
        <v>725</v>
      </c>
      <c r="C38" s="48">
        <v>12</v>
      </c>
      <c r="D38" s="22" t="s">
        <v>5</v>
      </c>
      <c r="E38" s="21" t="str" cm="1">
        <f t="array" ref="E3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38" s="54" t="s">
        <v>618</v>
      </c>
      <c r="G38" s="21" t="str">
        <f>VLOOKUP(Table2535[[#This Row],[Offical_ID]],Master_Roster[[Offical ID]:[Last Name]],3,FALSE)</f>
        <v>Onterrio</v>
      </c>
      <c r="H38" s="21" t="s">
        <v>93</v>
      </c>
      <c r="I38" s="21">
        <v>811517</v>
      </c>
      <c r="J38" s="21" t="s">
        <v>716</v>
      </c>
    </row>
    <row r="39" spans="1:10" ht="15" customHeight="1" x14ac:dyDescent="0.2">
      <c r="A39" s="57">
        <v>37</v>
      </c>
      <c r="B39" s="48" t="s">
        <v>725</v>
      </c>
      <c r="C39" s="48">
        <v>13</v>
      </c>
      <c r="D39" s="22" t="s">
        <v>940</v>
      </c>
      <c r="E39" s="21" t="str" cm="1">
        <f t="array" ref="E3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Spec</v>
      </c>
      <c r="F39" s="54" t="s">
        <v>695</v>
      </c>
      <c r="G39" s="21" t="str">
        <f>VLOOKUP(Table2535[[#This Row],[Offical_ID]],Master_Roster[[Offical ID]:[Last Name]],3,FALSE)</f>
        <v>Cal</v>
      </c>
      <c r="H39" s="21" t="s">
        <v>262</v>
      </c>
      <c r="I39" s="21" t="s">
        <v>709</v>
      </c>
      <c r="J39" s="21"/>
    </row>
    <row r="40" spans="1:10" ht="15" customHeight="1" x14ac:dyDescent="0.2">
      <c r="A40" s="57">
        <v>38</v>
      </c>
      <c r="B40" s="48" t="s">
        <v>725</v>
      </c>
      <c r="C40" s="48">
        <v>14</v>
      </c>
      <c r="D40" s="22" t="s">
        <v>39</v>
      </c>
      <c r="E40" s="21" t="str" cm="1">
        <f t="array" ref="E4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40" s="54" t="s">
        <v>604</v>
      </c>
      <c r="G40" s="21" t="str">
        <f>VLOOKUP(Table2535[[#This Row],[Offical_ID]],Master_Roster[[Offical ID]:[Last Name]],3,FALSE)</f>
        <v>Jaden</v>
      </c>
      <c r="H40" s="21" t="s">
        <v>99</v>
      </c>
      <c r="I40" s="21"/>
      <c r="J40" s="21" t="s">
        <v>716</v>
      </c>
    </row>
    <row r="41" spans="1:10" ht="15" customHeight="1" x14ac:dyDescent="0.2">
      <c r="A41" s="57">
        <v>39</v>
      </c>
      <c r="B41" s="48" t="s">
        <v>725</v>
      </c>
      <c r="C41" s="48">
        <v>15</v>
      </c>
      <c r="D41" s="22" t="s">
        <v>197</v>
      </c>
      <c r="E41" s="21" t="str" cm="1">
        <f t="array" ref="E4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Spec</v>
      </c>
      <c r="F41" s="54" t="s">
        <v>699</v>
      </c>
      <c r="G41" s="21" t="str">
        <f>VLOOKUP(Table2535[[#This Row],[Offical_ID]],Master_Roster[[Offical ID]:[Last Name]],3,FALSE)</f>
        <v>Joseph</v>
      </c>
      <c r="H41" s="21" t="s">
        <v>202</v>
      </c>
      <c r="I41" s="21" t="s">
        <v>709</v>
      </c>
      <c r="J41" s="21"/>
    </row>
    <row r="42" spans="1:10" ht="15" customHeight="1" x14ac:dyDescent="0.2">
      <c r="A42" s="57">
        <v>40</v>
      </c>
      <c r="B42" s="48" t="s">
        <v>725</v>
      </c>
      <c r="C42" s="48">
        <v>16</v>
      </c>
      <c r="D42" s="22" t="s">
        <v>269</v>
      </c>
      <c r="E42" s="21" t="str" cm="1">
        <f t="array" ref="E4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Spec</v>
      </c>
      <c r="F42" s="54" t="s">
        <v>658</v>
      </c>
      <c r="G42" s="21" t="str">
        <f>VLOOKUP(Table2535[[#This Row],[Offical_ID]],Master_Roster[[Offical ID]:[Last Name]],3,FALSE)</f>
        <v>Adam</v>
      </c>
      <c r="H42" s="21" t="s">
        <v>188</v>
      </c>
      <c r="I42" s="21" t="s">
        <v>709</v>
      </c>
      <c r="J42" s="21"/>
    </row>
    <row r="43" spans="1:10" ht="15" customHeight="1" x14ac:dyDescent="0.2">
      <c r="A43" s="57">
        <v>41</v>
      </c>
      <c r="B43" s="48" t="s">
        <v>725</v>
      </c>
      <c r="C43" s="48">
        <v>17</v>
      </c>
      <c r="D43" s="22" t="s">
        <v>40</v>
      </c>
      <c r="E43" s="21" t="str" cm="1">
        <f t="array" ref="E4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Spec</v>
      </c>
      <c r="F43" s="54" t="s">
        <v>670</v>
      </c>
      <c r="G43" s="21" t="str">
        <f>VLOOKUP(Table2535[[#This Row],[Offical_ID]],Master_Roster[[Offical ID]:[Last Name]],3,FALSE)</f>
        <v>Mike</v>
      </c>
      <c r="H43" s="21" t="s">
        <v>262</v>
      </c>
      <c r="I43" s="21" t="s">
        <v>709</v>
      </c>
      <c r="J43" s="21"/>
    </row>
    <row r="44" spans="1:10" ht="15" customHeight="1" x14ac:dyDescent="0.2">
      <c r="A44" s="57">
        <v>42</v>
      </c>
      <c r="B44" s="48" t="s">
        <v>725</v>
      </c>
      <c r="C44" s="48">
        <v>18</v>
      </c>
      <c r="D44" s="22" t="s">
        <v>66</v>
      </c>
      <c r="E44" s="21" t="str" cm="1">
        <f t="array" ref="E4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44" s="54" t="s">
        <v>662</v>
      </c>
      <c r="G44" s="21" t="str">
        <f>VLOOKUP(Table2535[[#This Row],[Offical_ID]],Master_Roster[[Offical ID]:[Last Name]],3,FALSE)</f>
        <v>Dean</v>
      </c>
      <c r="H44" s="21" t="s">
        <v>205</v>
      </c>
      <c r="I44" s="21">
        <v>814614</v>
      </c>
      <c r="J44" s="21" t="s">
        <v>716</v>
      </c>
    </row>
    <row r="45" spans="1:10" ht="15" customHeight="1" x14ac:dyDescent="0.2">
      <c r="A45" s="57">
        <v>43</v>
      </c>
      <c r="B45" s="48" t="s">
        <v>725</v>
      </c>
      <c r="C45" s="48">
        <v>19</v>
      </c>
      <c r="D45" s="22" t="s">
        <v>56</v>
      </c>
      <c r="E45" s="21" t="str" cm="1">
        <f t="array" ref="E4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45" s="54" t="s">
        <v>678</v>
      </c>
      <c r="G45" s="21" t="str">
        <f>VLOOKUP(Table2535[[#This Row],[Offical_ID]],Master_Roster[[Offical ID]:[Last Name]],3,FALSE)</f>
        <v>Sawyer</v>
      </c>
      <c r="H45" s="21" t="s">
        <v>205</v>
      </c>
      <c r="I45" s="21">
        <v>811512</v>
      </c>
      <c r="J45" s="21" t="s">
        <v>716</v>
      </c>
    </row>
    <row r="46" spans="1:10" ht="15" customHeight="1" x14ac:dyDescent="0.2">
      <c r="A46" s="57">
        <v>44</v>
      </c>
      <c r="B46" s="48" t="s">
        <v>725</v>
      </c>
      <c r="C46" s="48">
        <v>20</v>
      </c>
      <c r="D46" s="22" t="s">
        <v>297</v>
      </c>
      <c r="E46" s="21" t="str" cm="1">
        <f t="array" ref="E4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46" s="54" t="s">
        <v>684</v>
      </c>
      <c r="G46" s="21" t="str">
        <f>VLOOKUP(Table2535[[#This Row],[Offical_ID]],Master_Roster[[Offical ID]:[Last Name]],3,FALSE)</f>
        <v>Jordan</v>
      </c>
      <c r="H46" s="21" t="s">
        <v>205</v>
      </c>
      <c r="I46" s="21">
        <v>814448</v>
      </c>
      <c r="J46" s="21" t="s">
        <v>716</v>
      </c>
    </row>
    <row r="47" spans="1:10" ht="15" customHeight="1" x14ac:dyDescent="0.2">
      <c r="A47" s="57">
        <v>45</v>
      </c>
      <c r="B47" s="48" t="s">
        <v>725</v>
      </c>
      <c r="C47" s="48">
        <v>21</v>
      </c>
      <c r="D47" s="22" t="s">
        <v>49</v>
      </c>
      <c r="E47" s="21" t="str" cm="1">
        <f t="array" ref="E4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47" s="54" t="s">
        <v>671</v>
      </c>
      <c r="G47" s="21" t="str">
        <f>VLOOKUP(Table2535[[#This Row],[Offical_ID]],Master_Roster[[Offical ID]:[Last Name]],3,FALSE)</f>
        <v>Brandon</v>
      </c>
      <c r="H47" s="21" t="s">
        <v>205</v>
      </c>
      <c r="I47" s="21">
        <v>814609</v>
      </c>
      <c r="J47" s="21" t="s">
        <v>716</v>
      </c>
    </row>
    <row r="48" spans="1:10" ht="15" customHeight="1" x14ac:dyDescent="0.2">
      <c r="A48" s="57">
        <v>46</v>
      </c>
      <c r="B48" s="48" t="s">
        <v>725</v>
      </c>
      <c r="C48" s="48">
        <v>22</v>
      </c>
      <c r="D48" s="22" t="s">
        <v>54</v>
      </c>
      <c r="E48" s="21" t="str" cm="1">
        <f t="array" ref="E4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48" s="54" t="s">
        <v>677</v>
      </c>
      <c r="G48" s="21" t="str">
        <f>VLOOKUP(Table2535[[#This Row],[Offical_ID]],Master_Roster[[Offical ID]:[Last Name]],3,FALSE)</f>
        <v>Bryson</v>
      </c>
      <c r="H48" s="21" t="s">
        <v>205</v>
      </c>
      <c r="I48" s="21">
        <v>814594</v>
      </c>
      <c r="J48" s="21" t="s">
        <v>716</v>
      </c>
    </row>
    <row r="49" spans="1:10" ht="15" customHeight="1" x14ac:dyDescent="0.2">
      <c r="A49" s="57">
        <v>47</v>
      </c>
      <c r="B49" s="48" t="s">
        <v>725</v>
      </c>
      <c r="C49" s="48">
        <v>23</v>
      </c>
      <c r="D49" s="22" t="s">
        <v>295</v>
      </c>
      <c r="E49" s="21" t="str" cm="1">
        <f t="array" ref="E4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49" s="54" t="s">
        <v>681</v>
      </c>
      <c r="G49" s="21" t="str">
        <f>VLOOKUP(Table2535[[#This Row],[Offical_ID]],Master_Roster[[Offical ID]:[Last Name]],3,FALSE)</f>
        <v>DeAnthony</v>
      </c>
      <c r="H49" s="21" t="s">
        <v>205</v>
      </c>
      <c r="I49" s="21">
        <v>811529</v>
      </c>
      <c r="J49" s="21" t="s">
        <v>716</v>
      </c>
    </row>
    <row r="50" spans="1:10" ht="15" customHeight="1" x14ac:dyDescent="0.2">
      <c r="A50" s="57">
        <v>48</v>
      </c>
      <c r="B50" s="48" t="s">
        <v>725</v>
      </c>
      <c r="C50" s="48">
        <v>24</v>
      </c>
      <c r="D50" s="22" t="s">
        <v>63</v>
      </c>
      <c r="E50" s="21" t="str" cm="1">
        <f t="array" ref="E5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50" s="54" t="s">
        <v>672</v>
      </c>
      <c r="G50" s="21" t="str">
        <f>VLOOKUP(Table2535[[#This Row],[Offical_ID]],Master_Roster[[Offical ID]:[Last Name]],3,FALSE)</f>
        <v>Cade</v>
      </c>
      <c r="H50" s="21" t="s">
        <v>205</v>
      </c>
      <c r="I50" s="21">
        <v>811527</v>
      </c>
      <c r="J50" s="21" t="s">
        <v>716</v>
      </c>
    </row>
    <row r="51" spans="1:10" ht="15" customHeight="1" x14ac:dyDescent="0.2">
      <c r="A51" s="57">
        <v>49</v>
      </c>
      <c r="B51" s="100" t="s">
        <v>727</v>
      </c>
      <c r="C51" s="100">
        <v>1</v>
      </c>
      <c r="D51" s="22" t="s">
        <v>53</v>
      </c>
      <c r="E51" s="21" t="str" cm="1">
        <f t="array" ref="E5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51" s="54" t="s">
        <v>668</v>
      </c>
      <c r="G51" s="21" t="str">
        <f>VLOOKUP(Table2535[[#This Row],[Offical_ID]],Master_Roster[[Offical ID]:[Last Name]],3,FALSE)</f>
        <v>Kenndel</v>
      </c>
      <c r="H51" s="21" t="s">
        <v>205</v>
      </c>
      <c r="I51" s="21">
        <v>814610</v>
      </c>
      <c r="J51" s="21" t="s">
        <v>716</v>
      </c>
    </row>
    <row r="52" spans="1:10" ht="15" customHeight="1" x14ac:dyDescent="0.2">
      <c r="A52" s="57">
        <v>50</v>
      </c>
      <c r="B52" s="48" t="s">
        <v>727</v>
      </c>
      <c r="C52" s="48">
        <v>2</v>
      </c>
      <c r="D52" s="22" t="s">
        <v>52</v>
      </c>
      <c r="E52" s="21" t="str" cm="1">
        <f t="array" ref="E5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52" s="54" t="s">
        <v>683</v>
      </c>
      <c r="G52" s="21" t="str">
        <f>VLOOKUP(Table2535[[#This Row],[Offical_ID]],Master_Roster[[Offical ID]:[Last Name]],3,FALSE)</f>
        <v>Richard</v>
      </c>
      <c r="H52" s="21" t="s">
        <v>205</v>
      </c>
      <c r="I52" s="21">
        <v>814596</v>
      </c>
      <c r="J52" s="21" t="s">
        <v>716</v>
      </c>
    </row>
    <row r="53" spans="1:10" ht="15" customHeight="1" x14ac:dyDescent="0.2">
      <c r="A53" s="57">
        <v>51</v>
      </c>
      <c r="B53" s="48" t="s">
        <v>727</v>
      </c>
      <c r="C53" s="48">
        <v>3</v>
      </c>
      <c r="D53" s="22" t="s">
        <v>64</v>
      </c>
      <c r="E53" s="21" t="str" cm="1">
        <f t="array" ref="E5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53" s="54" t="s">
        <v>679</v>
      </c>
      <c r="G53" s="21" t="str">
        <f>VLOOKUP(Table2535[[#This Row],[Offical_ID]],Master_Roster[[Offical ID]:[Last Name]],3,FALSE)</f>
        <v>Jose</v>
      </c>
      <c r="H53" s="21" t="s">
        <v>205</v>
      </c>
      <c r="I53" s="21">
        <v>811530</v>
      </c>
      <c r="J53" s="21" t="s">
        <v>716</v>
      </c>
    </row>
    <row r="54" spans="1:10" ht="15" customHeight="1" x14ac:dyDescent="0.2">
      <c r="A54" s="57">
        <v>52</v>
      </c>
      <c r="B54" s="48" t="s">
        <v>727</v>
      </c>
      <c r="C54" s="48">
        <v>4</v>
      </c>
      <c r="D54" s="22" t="s">
        <v>55</v>
      </c>
      <c r="E54" s="21" t="str" cm="1">
        <f t="array" ref="E5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54" s="54" t="s">
        <v>680</v>
      </c>
      <c r="G54" s="21" t="str">
        <f>VLOOKUP(Table2535[[#This Row],[Offical_ID]],Master_Roster[[Offical ID]:[Last Name]],3,FALSE)</f>
        <v>Aidan</v>
      </c>
      <c r="H54" s="21" t="s">
        <v>205</v>
      </c>
      <c r="I54" s="21">
        <v>811526</v>
      </c>
      <c r="J54" s="21" t="s">
        <v>716</v>
      </c>
    </row>
    <row r="55" spans="1:10" ht="15" customHeight="1" x14ac:dyDescent="0.2">
      <c r="A55" s="57">
        <v>53</v>
      </c>
      <c r="B55" s="48" t="s">
        <v>727</v>
      </c>
      <c r="C55" s="48">
        <v>5</v>
      </c>
      <c r="D55" s="22" t="s">
        <v>280</v>
      </c>
      <c r="E55" s="21" t="str" cm="1">
        <f t="array" ref="E5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55" s="54" t="s">
        <v>633</v>
      </c>
      <c r="G55" s="21" t="str">
        <f>VLOOKUP(Table2535[[#This Row],[Offical_ID]],Master_Roster[[Offical ID]:[Last Name]],3,FALSE)</f>
        <v>Logan</v>
      </c>
      <c r="H55" s="21" t="s">
        <v>139</v>
      </c>
      <c r="I55" s="21">
        <v>811521</v>
      </c>
      <c r="J55" s="21" t="s">
        <v>716</v>
      </c>
    </row>
    <row r="56" spans="1:10" ht="15" customHeight="1" x14ac:dyDescent="0.2">
      <c r="A56" s="57">
        <v>54</v>
      </c>
      <c r="B56" s="48" t="s">
        <v>727</v>
      </c>
      <c r="C56" s="48">
        <v>6</v>
      </c>
      <c r="D56" s="22" t="s">
        <v>44</v>
      </c>
      <c r="E56" s="21" t="str" cm="1">
        <f t="array" ref="E5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56" s="54" t="s">
        <v>627</v>
      </c>
      <c r="G56" s="21" t="str">
        <f>VLOOKUP(Table2535[[#This Row],[Offical_ID]],Master_Roster[[Offical ID]:[Last Name]],3,FALSE)</f>
        <v>Jordan</v>
      </c>
      <c r="H56" s="21" t="s">
        <v>139</v>
      </c>
      <c r="I56" s="23">
        <v>811519</v>
      </c>
      <c r="J56" s="21" t="s">
        <v>716</v>
      </c>
    </row>
    <row r="57" spans="1:10" ht="15" customHeight="1" x14ac:dyDescent="0.2">
      <c r="A57" s="57">
        <v>55</v>
      </c>
      <c r="B57" s="48" t="s">
        <v>727</v>
      </c>
      <c r="C57" s="48">
        <v>7</v>
      </c>
      <c r="D57" s="22" t="s">
        <v>58</v>
      </c>
      <c r="E57" s="21" t="str" cm="1">
        <f t="array" ref="E5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57" s="54" t="s">
        <v>598</v>
      </c>
      <c r="G57" s="21" t="str">
        <f>VLOOKUP(Table2535[[#This Row],[Offical_ID]],Master_Roster[[Offical ID]:[Last Name]],3,FALSE)</f>
        <v>Deven</v>
      </c>
      <c r="H57" s="21" t="s">
        <v>338</v>
      </c>
      <c r="I57" s="21">
        <v>814607</v>
      </c>
      <c r="J57" s="21" t="s">
        <v>717</v>
      </c>
    </row>
    <row r="58" spans="1:10" ht="15" customHeight="1" x14ac:dyDescent="0.2">
      <c r="A58" s="57">
        <v>56</v>
      </c>
      <c r="B58" s="48" t="s">
        <v>727</v>
      </c>
      <c r="C58" s="48">
        <v>8</v>
      </c>
      <c r="D58" s="22" t="s">
        <v>296</v>
      </c>
      <c r="E58" s="21" t="str" cm="1">
        <f t="array" ref="E5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58" s="54" t="s">
        <v>657</v>
      </c>
      <c r="G58" s="21" t="str">
        <f>VLOOKUP(Table2535[[#This Row],[Offical_ID]],Master_Roster[[Offical ID]:[Last Name]],3,FALSE)</f>
        <v>Xavier</v>
      </c>
      <c r="H58" s="21" t="s">
        <v>88</v>
      </c>
      <c r="I58" s="21">
        <v>814450</v>
      </c>
      <c r="J58" s="21" t="s">
        <v>717</v>
      </c>
    </row>
    <row r="59" spans="1:10" ht="15" customHeight="1" x14ac:dyDescent="0.2">
      <c r="A59" s="57">
        <v>57</v>
      </c>
      <c r="B59" s="48" t="s">
        <v>727</v>
      </c>
      <c r="C59" s="48">
        <v>9</v>
      </c>
      <c r="D59" s="22" t="s">
        <v>1</v>
      </c>
      <c r="E59" s="21" t="s">
        <v>732</v>
      </c>
      <c r="F59" s="54" t="s">
        <v>675</v>
      </c>
      <c r="G59" s="21" t="str">
        <f>VLOOKUP(Table2535[[#This Row],[Offical_ID]],Master_Roster[[Offical ID]:[Last Name]],3,FALSE)</f>
        <v>Davis</v>
      </c>
      <c r="H59" s="21" t="s">
        <v>205</v>
      </c>
      <c r="I59" s="21">
        <v>814606</v>
      </c>
      <c r="J59" s="21" t="s">
        <v>716</v>
      </c>
    </row>
    <row r="60" spans="1:10" ht="15" customHeight="1" x14ac:dyDescent="0.2">
      <c r="A60" s="57">
        <v>58</v>
      </c>
      <c r="B60" s="48" t="s">
        <v>727</v>
      </c>
      <c r="C60" s="48">
        <v>10</v>
      </c>
      <c r="D60" s="22" t="s">
        <v>57</v>
      </c>
      <c r="E60" s="21" t="str" cm="1">
        <f t="array" ref="E6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60" s="54" t="s">
        <v>632</v>
      </c>
      <c r="G60" s="21" t="str">
        <f>VLOOKUP(Table2535[[#This Row],[Offical_ID]],Master_Roster[[Offical ID]:[Last Name]],3,FALSE)</f>
        <v>Josh</v>
      </c>
      <c r="H60" s="21" t="s">
        <v>338</v>
      </c>
      <c r="I60" s="21">
        <v>811721</v>
      </c>
      <c r="J60" s="21" t="s">
        <v>717</v>
      </c>
    </row>
    <row r="61" spans="1:10" ht="15" customHeight="1" x14ac:dyDescent="0.2">
      <c r="A61" s="57">
        <v>59</v>
      </c>
      <c r="B61" s="48" t="s">
        <v>727</v>
      </c>
      <c r="C61" s="48">
        <v>11</v>
      </c>
      <c r="D61" s="22" t="s">
        <v>45</v>
      </c>
      <c r="E61" s="21" t="str" cm="1">
        <f t="array" ref="E6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61" s="54" t="s">
        <v>674</v>
      </c>
      <c r="G61" s="21" t="str">
        <f>VLOOKUP(Table2535[[#This Row],[Offical_ID]],Master_Roster[[Offical ID]:[Last Name]],3,FALSE)</f>
        <v>Luke</v>
      </c>
      <c r="H61" s="21" t="s">
        <v>205</v>
      </c>
      <c r="I61" s="21">
        <v>814607</v>
      </c>
      <c r="J61" s="21" t="s">
        <v>716</v>
      </c>
    </row>
    <row r="62" spans="1:10" ht="15" customHeight="1" x14ac:dyDescent="0.25">
      <c r="A62" s="57">
        <v>60</v>
      </c>
      <c r="B62" s="48" t="s">
        <v>727</v>
      </c>
      <c r="C62" s="48">
        <v>12</v>
      </c>
      <c r="D62" s="22" t="s">
        <v>29</v>
      </c>
      <c r="E62" s="21" t="e" cm="1">
        <f t="array" ref="E6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#N/A</v>
      </c>
      <c r="F62" s="54"/>
      <c r="G62" s="99" t="s">
        <v>714</v>
      </c>
      <c r="H62" s="99" t="s">
        <v>733</v>
      </c>
      <c r="I62" s="101">
        <v>811528</v>
      </c>
      <c r="J62" s="21"/>
    </row>
    <row r="63" spans="1:10" ht="15" customHeight="1" x14ac:dyDescent="0.2">
      <c r="A63" s="57">
        <v>61</v>
      </c>
      <c r="B63" s="48" t="s">
        <v>727</v>
      </c>
      <c r="C63" s="48">
        <v>13</v>
      </c>
      <c r="D63" s="22" t="s">
        <v>65</v>
      </c>
      <c r="E63" s="21" t="s">
        <v>732</v>
      </c>
      <c r="F63" s="54" t="s">
        <v>666</v>
      </c>
      <c r="G63" s="21" t="str">
        <f>VLOOKUP(Table2535[[#This Row],[Offical_ID]],Master_Roster[[Offical ID]:[Last Name]],3,FALSE)</f>
        <v>Jayland</v>
      </c>
      <c r="H63" s="21" t="s">
        <v>88</v>
      </c>
      <c r="I63" s="21">
        <v>811724</v>
      </c>
      <c r="J63" s="21" t="s">
        <v>717</v>
      </c>
    </row>
    <row r="64" spans="1:10" ht="15" customHeight="1" x14ac:dyDescent="0.2">
      <c r="A64" s="57">
        <v>62</v>
      </c>
      <c r="B64" s="48" t="s">
        <v>727</v>
      </c>
      <c r="C64" s="48">
        <v>14</v>
      </c>
      <c r="D64" s="22" t="s">
        <v>59</v>
      </c>
      <c r="E64" s="21" t="str" cm="1">
        <f t="array" ref="E6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64" s="54" t="s">
        <v>667</v>
      </c>
      <c r="G64" s="21" t="str">
        <f>VLOOKUP(Table2535[[#This Row],[Offical_ID]],Master_Roster[[Offical ID]:[Last Name]],3,FALSE)</f>
        <v>DeSean</v>
      </c>
      <c r="H64" s="21" t="s">
        <v>88</v>
      </c>
      <c r="I64" s="21">
        <v>814608</v>
      </c>
      <c r="J64" s="21" t="s">
        <v>717</v>
      </c>
    </row>
    <row r="65" spans="1:10" ht="15" customHeight="1" x14ac:dyDescent="0.2">
      <c r="A65" s="57">
        <v>63</v>
      </c>
      <c r="B65" s="48" t="s">
        <v>727</v>
      </c>
      <c r="C65" s="48">
        <v>15</v>
      </c>
      <c r="D65" s="22" t="s">
        <v>292</v>
      </c>
      <c r="E65" s="21" t="s">
        <v>892</v>
      </c>
      <c r="F65" s="54" t="s">
        <v>665</v>
      </c>
      <c r="G65" s="21" t="str">
        <f>VLOOKUP(Table2535[[#This Row],[Offical_ID]],Master_Roster[[Offical ID]:[Last Name]],3,FALSE)</f>
        <v>Dylan</v>
      </c>
      <c r="H65" s="21" t="s">
        <v>88</v>
      </c>
      <c r="I65" s="21">
        <v>814611</v>
      </c>
      <c r="J65" s="21" t="s">
        <v>717</v>
      </c>
    </row>
    <row r="66" spans="1:10" ht="15" customHeight="1" x14ac:dyDescent="0.2">
      <c r="A66" s="57">
        <v>64</v>
      </c>
      <c r="B66" s="48" t="s">
        <v>727</v>
      </c>
      <c r="C66" s="48">
        <v>16</v>
      </c>
      <c r="D66" s="22" t="s">
        <v>274</v>
      </c>
      <c r="E66" s="21" t="str" cm="1">
        <f t="array" ref="E6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66" s="54" t="s">
        <v>612</v>
      </c>
      <c r="G66" s="21" t="str">
        <f>VLOOKUP(Table2535[[#This Row],[Offical_ID]],Master_Roster[[Offical ID]:[Last Name]],3,FALSE)</f>
        <v>Malik</v>
      </c>
      <c r="H66" s="21" t="s">
        <v>88</v>
      </c>
      <c r="I66" s="21">
        <v>814347</v>
      </c>
      <c r="J66" s="21" t="s">
        <v>717</v>
      </c>
    </row>
    <row r="67" spans="1:10" ht="15" customHeight="1" x14ac:dyDescent="0.2">
      <c r="A67" s="57">
        <v>65</v>
      </c>
      <c r="B67" s="48" t="s">
        <v>727</v>
      </c>
      <c r="C67" s="48">
        <v>17</v>
      </c>
      <c r="D67" s="22" t="s">
        <v>72</v>
      </c>
      <c r="E67" s="21" t="str" cm="1">
        <f t="array" ref="E6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67" s="21" t="s">
        <v>600</v>
      </c>
      <c r="G67" s="21" t="str">
        <f>VLOOKUP(Table2535[[#This Row],[Offical_ID]],Master_Roster[[Offical ID]:[Last Name]],3,FALSE)</f>
        <v>Brodie</v>
      </c>
      <c r="H67" s="21" t="s">
        <v>88</v>
      </c>
      <c r="I67" s="23">
        <v>811725</v>
      </c>
      <c r="J67" s="21" t="s">
        <v>717</v>
      </c>
    </row>
    <row r="68" spans="1:10" x14ac:dyDescent="0.2">
      <c r="A68" s="57">
        <v>66</v>
      </c>
      <c r="B68" s="48" t="s">
        <v>727</v>
      </c>
      <c r="C68" s="48">
        <v>18</v>
      </c>
      <c r="D68" s="22" t="s">
        <v>67</v>
      </c>
      <c r="E68" s="21" t="s">
        <v>732</v>
      </c>
      <c r="F68" s="54" t="s">
        <v>610</v>
      </c>
      <c r="G68" s="21" t="str">
        <f>VLOOKUP(Table2535[[#This Row],[Offical_ID]],Master_Roster[[Offical ID]:[Last Name]],3,FALSE)</f>
        <v>Kris</v>
      </c>
      <c r="H68" s="21" t="s">
        <v>88</v>
      </c>
      <c r="I68" s="21">
        <v>814348</v>
      </c>
      <c r="J68" s="21" t="s">
        <v>717</v>
      </c>
    </row>
    <row r="69" spans="1:10" x14ac:dyDescent="0.2">
      <c r="A69" s="57">
        <v>67</v>
      </c>
      <c r="B69" s="48" t="s">
        <v>727</v>
      </c>
      <c r="C69" s="48">
        <v>19</v>
      </c>
      <c r="D69" s="22" t="s">
        <v>302</v>
      </c>
      <c r="E69" s="21" t="str" cm="1">
        <f t="array" ref="E6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69" s="54" t="s">
        <v>693</v>
      </c>
      <c r="G69" s="21" t="str">
        <f>VLOOKUP(Table2535[[#This Row],[Offical_ID]],Master_Roster[[Offical ID]:[Last Name]],3,FALSE)</f>
        <v>Syncere</v>
      </c>
      <c r="H69" s="21" t="s">
        <v>88</v>
      </c>
      <c r="I69" s="21">
        <v>814599</v>
      </c>
      <c r="J69" s="21" t="s">
        <v>717</v>
      </c>
    </row>
    <row r="70" spans="1:10" x14ac:dyDescent="0.2">
      <c r="A70" s="57">
        <v>68</v>
      </c>
      <c r="B70" s="48" t="s">
        <v>727</v>
      </c>
      <c r="C70" s="48">
        <v>20</v>
      </c>
      <c r="D70" s="22" t="s">
        <v>60</v>
      </c>
      <c r="E70" s="21" t="s">
        <v>732</v>
      </c>
      <c r="F70" s="54" t="s">
        <v>664</v>
      </c>
      <c r="G70" s="21" t="str">
        <f>VLOOKUP(Table2535[[#This Row],[Offical_ID]],Master_Roster[[Offical ID]:[Last Name]],3,FALSE)</f>
        <v>Miles</v>
      </c>
      <c r="H70" s="21" t="s">
        <v>88</v>
      </c>
      <c r="I70" s="21">
        <v>814612</v>
      </c>
      <c r="J70" s="21" t="s">
        <v>717</v>
      </c>
    </row>
    <row r="71" spans="1:10" x14ac:dyDescent="0.2">
      <c r="A71" s="57">
        <v>69</v>
      </c>
      <c r="B71" s="48" t="s">
        <v>727</v>
      </c>
      <c r="C71" s="48">
        <v>21</v>
      </c>
      <c r="D71" s="22" t="s">
        <v>62</v>
      </c>
      <c r="E71" s="21" t="str" cm="1">
        <f t="array" ref="E7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71" s="54" t="s">
        <v>593</v>
      </c>
      <c r="G71" s="21" t="str">
        <f>VLOOKUP(Table2535[[#This Row],[Offical_ID]],Master_Roster[[Offical ID]:[Last Name]],3,FALSE)</f>
        <v>Melvin</v>
      </c>
      <c r="H71" s="21" t="s">
        <v>88</v>
      </c>
      <c r="I71" s="21">
        <v>814454</v>
      </c>
      <c r="J71" s="21" t="s">
        <v>717</v>
      </c>
    </row>
    <row r="72" spans="1:10" x14ac:dyDescent="0.2">
      <c r="A72" s="57">
        <v>70</v>
      </c>
      <c r="B72" s="48" t="s">
        <v>727</v>
      </c>
      <c r="C72" s="48">
        <v>22</v>
      </c>
      <c r="D72" s="22" t="s">
        <v>61</v>
      </c>
      <c r="E72" s="21" t="str" cm="1">
        <f t="array" ref="E7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72" s="54" t="s">
        <v>696</v>
      </c>
      <c r="G72" s="21" t="str">
        <f>VLOOKUP(Table2535[[#This Row],[Offical_ID]],Master_Roster[[Offical ID]:[Last Name]],3,FALSE)</f>
        <v>Jordan</v>
      </c>
      <c r="H72" s="21" t="s">
        <v>88</v>
      </c>
      <c r="I72" s="21">
        <v>814593</v>
      </c>
      <c r="J72" s="21" t="s">
        <v>717</v>
      </c>
    </row>
    <row r="73" spans="1:10" x14ac:dyDescent="0.2">
      <c r="A73" s="57">
        <v>71</v>
      </c>
      <c r="B73" s="48" t="s">
        <v>727</v>
      </c>
      <c r="C73" s="48">
        <v>23</v>
      </c>
      <c r="D73" s="22" t="s">
        <v>303</v>
      </c>
      <c r="E73" s="21" t="str" cm="1">
        <f t="array" ref="E7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73" s="54" t="s">
        <v>694</v>
      </c>
      <c r="G73" s="21" t="str">
        <f>VLOOKUP(Table2535[[#This Row],[Offical_ID]],Master_Roster[[Offical ID]:[Last Name]],3,FALSE)</f>
        <v>James</v>
      </c>
      <c r="H73" s="21" t="s">
        <v>88</v>
      </c>
      <c r="I73" s="21">
        <v>814598</v>
      </c>
      <c r="J73" s="21" t="s">
        <v>717</v>
      </c>
    </row>
    <row r="74" spans="1:10" x14ac:dyDescent="0.2">
      <c r="A74" s="57">
        <v>72</v>
      </c>
      <c r="B74" s="48" t="s">
        <v>727</v>
      </c>
      <c r="C74" s="48">
        <v>24</v>
      </c>
      <c r="D74" s="22" t="s">
        <v>278</v>
      </c>
      <c r="E74" s="21" t="str" cm="1">
        <f t="array" ref="E7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74" s="54" t="s">
        <v>656</v>
      </c>
      <c r="G74" s="21" t="str">
        <f>VLOOKUP(Table2535[[#This Row],[Offical_ID]],Master_Roster[[Offical ID]:[Last Name]],3,FALSE)</f>
        <v>Diego</v>
      </c>
      <c r="H74" s="21" t="s">
        <v>425</v>
      </c>
      <c r="I74" s="21">
        <v>811739</v>
      </c>
      <c r="J74" s="21" t="s">
        <v>717</v>
      </c>
    </row>
    <row r="75" spans="1:10" x14ac:dyDescent="0.2">
      <c r="A75" s="57">
        <v>73</v>
      </c>
      <c r="B75" s="48" t="s">
        <v>728</v>
      </c>
      <c r="C75" s="48">
        <v>1</v>
      </c>
      <c r="D75" s="22" t="s">
        <v>68</v>
      </c>
      <c r="E75" s="21" t="str" cm="1">
        <f t="array" ref="E7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75" s="54" t="s">
        <v>625</v>
      </c>
      <c r="G75" s="21" t="str">
        <f>VLOOKUP(Table2535[[#This Row],[Offical_ID]],Master_Roster[[Offical ID]:[Last Name]],3,FALSE)</f>
        <v>Jekob</v>
      </c>
      <c r="H75" s="21" t="s">
        <v>425</v>
      </c>
      <c r="I75" s="21">
        <v>811731</v>
      </c>
      <c r="J75" s="21" t="s">
        <v>717</v>
      </c>
    </row>
    <row r="76" spans="1:10" x14ac:dyDescent="0.2">
      <c r="A76" s="57">
        <v>74</v>
      </c>
      <c r="B76" s="48" t="s">
        <v>728</v>
      </c>
      <c r="C76" s="48">
        <v>2</v>
      </c>
      <c r="D76" s="22" t="s">
        <v>288</v>
      </c>
      <c r="E76" s="21" t="str" cm="1">
        <f t="array" ref="E7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76" s="54" t="s">
        <v>653</v>
      </c>
      <c r="G76" s="21" t="str">
        <f>VLOOKUP(Table2535[[#This Row],[Offical_ID]],Master_Roster[[Offical ID]:[Last Name]],3,FALSE)</f>
        <v>Derek</v>
      </c>
      <c r="H76" s="21" t="s">
        <v>425</v>
      </c>
      <c r="I76" s="21">
        <v>811510</v>
      </c>
      <c r="J76" s="21" t="s">
        <v>717</v>
      </c>
    </row>
    <row r="77" spans="1:10" x14ac:dyDescent="0.2">
      <c r="A77" s="57">
        <v>75</v>
      </c>
      <c r="B77" s="48" t="s">
        <v>728</v>
      </c>
      <c r="C77" s="48">
        <v>3</v>
      </c>
      <c r="D77" s="22" t="s">
        <v>47</v>
      </c>
      <c r="E77" s="21" t="s">
        <v>892</v>
      </c>
      <c r="F77" s="54"/>
      <c r="G77" s="21" t="e">
        <f>VLOOKUP(Table2535[[#This Row],[Offical_ID]],Master_Roster[[Offical ID]:[Last Name]],3,FALSE)</f>
        <v>#N/A</v>
      </c>
      <c r="H77" s="21"/>
      <c r="I77" s="21">
        <v>811739</v>
      </c>
      <c r="J77" s="21"/>
    </row>
    <row r="78" spans="1:10" x14ac:dyDescent="0.2">
      <c r="A78" s="57">
        <v>76</v>
      </c>
      <c r="B78" s="48" t="s">
        <v>728</v>
      </c>
      <c r="C78" s="48">
        <v>4</v>
      </c>
      <c r="D78" s="22" t="s">
        <v>281</v>
      </c>
      <c r="E78" s="21" t="str" cm="1">
        <f t="array" ref="E7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78" s="54" t="s">
        <v>581</v>
      </c>
      <c r="G78" s="21" t="str">
        <f>VLOOKUP(Table2535[[#This Row],[Offical_ID]],Master_Roster[[Offical ID]:[Last Name]],3,FALSE)</f>
        <v>Matthew</v>
      </c>
      <c r="H78" s="21" t="s">
        <v>425</v>
      </c>
      <c r="I78" s="21">
        <v>811532</v>
      </c>
      <c r="J78" s="21" t="s">
        <v>717</v>
      </c>
    </row>
    <row r="79" spans="1:10" x14ac:dyDescent="0.2">
      <c r="A79" s="57">
        <v>77</v>
      </c>
      <c r="B79" s="48" t="s">
        <v>728</v>
      </c>
      <c r="C79" s="48">
        <v>5</v>
      </c>
      <c r="D79" s="22" t="s">
        <v>23</v>
      </c>
      <c r="E79" s="21" t="str" cm="1">
        <f t="array" ref="E7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79" s="54" t="s">
        <v>636</v>
      </c>
      <c r="G79" s="21" t="str">
        <f>VLOOKUP(Table2535[[#This Row],[Offical_ID]],Master_Roster[[Offical ID]:[Last Name]],3,FALSE)</f>
        <v>Dejuan</v>
      </c>
      <c r="H79" s="21" t="s">
        <v>321</v>
      </c>
      <c r="I79" s="21">
        <v>811736</v>
      </c>
      <c r="J79" s="21" t="s">
        <v>717</v>
      </c>
    </row>
    <row r="80" spans="1:10" x14ac:dyDescent="0.2">
      <c r="A80" s="57">
        <v>78</v>
      </c>
      <c r="B80" s="48" t="s">
        <v>728</v>
      </c>
      <c r="C80" s="48">
        <v>6</v>
      </c>
      <c r="D80" s="22" t="s">
        <v>26</v>
      </c>
      <c r="E80" s="21" t="str" cm="1">
        <f t="array" ref="E8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80" s="54" t="s">
        <v>691</v>
      </c>
      <c r="G80" s="21" t="str">
        <f>VLOOKUP(Table2535[[#This Row],[Offical_ID]],Master_Roster[[Offical ID]:[Last Name]],3,FALSE)</f>
        <v>Gavin</v>
      </c>
      <c r="H80" s="21" t="s">
        <v>139</v>
      </c>
      <c r="I80" s="21">
        <v>814453</v>
      </c>
      <c r="J80" s="21" t="s">
        <v>716</v>
      </c>
    </row>
    <row r="81" spans="1:10" x14ac:dyDescent="0.2">
      <c r="A81" s="57">
        <v>79</v>
      </c>
      <c r="B81" s="48" t="s">
        <v>728</v>
      </c>
      <c r="C81" s="48">
        <v>7</v>
      </c>
      <c r="D81" s="22" t="s">
        <v>18</v>
      </c>
      <c r="E81" s="21" t="s">
        <v>894</v>
      </c>
      <c r="F81" s="23" t="s">
        <v>652</v>
      </c>
      <c r="G81" s="23" t="str">
        <f>VLOOKUP(Table2535[[#This Row],[Offical_ID]],Master_Roster[[Offical ID]:[Last Name]],3,FALSE)</f>
        <v>Sammy</v>
      </c>
      <c r="H81" s="23" t="s">
        <v>483</v>
      </c>
      <c r="I81" s="23">
        <v>814349</v>
      </c>
      <c r="J81" s="23" t="s">
        <v>716</v>
      </c>
    </row>
    <row r="82" spans="1:10" x14ac:dyDescent="0.2">
      <c r="A82" s="57">
        <v>80</v>
      </c>
      <c r="B82" s="48" t="s">
        <v>728</v>
      </c>
      <c r="C82" s="48">
        <v>8</v>
      </c>
      <c r="D82" s="22" t="s">
        <v>24</v>
      </c>
      <c r="E82" s="21" t="str" cm="1">
        <f t="array" ref="E8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2" s="54" t="s">
        <v>639</v>
      </c>
      <c r="G82" s="21" t="str">
        <f>VLOOKUP(Table2535[[#This Row],[Offical_ID]],Master_Roster[[Offical ID]:[Last Name]],3,FALSE)</f>
        <v>Elias</v>
      </c>
      <c r="H82" s="21" t="s">
        <v>80</v>
      </c>
      <c r="I82" s="21">
        <v>811334</v>
      </c>
      <c r="J82" s="21" t="s">
        <v>716</v>
      </c>
    </row>
    <row r="83" spans="1:10" x14ac:dyDescent="0.2">
      <c r="A83" s="57">
        <v>81</v>
      </c>
      <c r="B83" s="48" t="s">
        <v>728</v>
      </c>
      <c r="C83" s="48">
        <v>9</v>
      </c>
      <c r="D83" s="22" t="s">
        <v>273</v>
      </c>
      <c r="E83" s="21" t="str" cm="1">
        <f t="array" ref="E8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3" s="54" t="s">
        <v>602</v>
      </c>
      <c r="G83" s="21" t="e">
        <f>VLOOKUP(Table2535[[#This Row],[Offical_ID]],Master_Roster[[Offical ID]:[Last Name]],3,FALSE)</f>
        <v>#N/A</v>
      </c>
      <c r="H83" s="21" t="s">
        <v>80</v>
      </c>
      <c r="I83" s="21">
        <v>810861</v>
      </c>
      <c r="J83" s="21" t="s">
        <v>716</v>
      </c>
    </row>
    <row r="84" spans="1:10" x14ac:dyDescent="0.2">
      <c r="A84" s="57">
        <v>82</v>
      </c>
      <c r="B84" s="48" t="s">
        <v>728</v>
      </c>
      <c r="C84" s="48">
        <v>10</v>
      </c>
      <c r="D84" s="22" t="s">
        <v>38</v>
      </c>
      <c r="E84" s="21" t="str" cm="1">
        <f t="array" ref="E8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4" s="54" t="s">
        <v>624</v>
      </c>
      <c r="G84" s="21" t="e">
        <f>VLOOKUP(Table2535[[#This Row],[Offical_ID]],Master_Roster[[Offical ID]:[Last Name]],3,FALSE)</f>
        <v>#N/A</v>
      </c>
      <c r="H84" s="21" t="s">
        <v>93</v>
      </c>
      <c r="I84" s="21"/>
      <c r="J84" s="21" t="s">
        <v>716</v>
      </c>
    </row>
    <row r="85" spans="1:10" x14ac:dyDescent="0.2">
      <c r="A85" s="57">
        <v>83</v>
      </c>
      <c r="B85" s="48" t="s">
        <v>728</v>
      </c>
      <c r="C85" s="48">
        <v>11</v>
      </c>
      <c r="D85" s="22" t="s">
        <v>28</v>
      </c>
      <c r="E85" s="21" t="str" cm="1">
        <f t="array" ref="E8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5" s="54" t="s">
        <v>635</v>
      </c>
      <c r="G85" s="21" t="str">
        <f>VLOOKUP(Table2535[[#This Row],[Offical_ID]],Master_Roster[[Offical ID]:[Last Name]],3,FALSE)</f>
        <v>Hayden</v>
      </c>
      <c r="H85" s="21" t="s">
        <v>93</v>
      </c>
      <c r="I85" s="21">
        <v>814350</v>
      </c>
      <c r="J85" s="21" t="s">
        <v>716</v>
      </c>
    </row>
    <row r="86" spans="1:10" x14ac:dyDescent="0.2">
      <c r="A86" s="57">
        <v>84</v>
      </c>
      <c r="B86" s="48" t="s">
        <v>728</v>
      </c>
      <c r="C86" s="48">
        <v>12</v>
      </c>
      <c r="D86" s="22" t="s">
        <v>289</v>
      </c>
      <c r="E86" s="21" t="str" cm="1">
        <f t="array" ref="E8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6" s="54" t="s">
        <v>619</v>
      </c>
      <c r="G86" s="21" t="str">
        <f>VLOOKUP(Table2535[[#This Row],[Offical_ID]],Master_Roster[[Offical ID]:[Last Name]],3,FALSE)</f>
        <v>Ernest</v>
      </c>
      <c r="H86" s="21" t="s">
        <v>93</v>
      </c>
      <c r="I86" s="21">
        <v>814592</v>
      </c>
      <c r="J86" s="21" t="s">
        <v>716</v>
      </c>
    </row>
    <row r="87" spans="1:10" x14ac:dyDescent="0.2">
      <c r="A87" s="57">
        <v>85</v>
      </c>
      <c r="B87" s="48" t="s">
        <v>728</v>
      </c>
      <c r="C87" s="48">
        <v>13</v>
      </c>
      <c r="D87" s="22" t="s">
        <v>286</v>
      </c>
      <c r="E87" s="21" t="str" cm="1">
        <f t="array" ref="E8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7" s="54" t="s">
        <v>599</v>
      </c>
      <c r="G87" s="21" t="str">
        <f>VLOOKUP(Table2535[[#This Row],[Offical_ID]],Master_Roster[[Offical ID]:[Last Name]],3,FALSE)</f>
        <v>Jordan</v>
      </c>
      <c r="H87" s="21" t="s">
        <v>93</v>
      </c>
      <c r="I87" s="21">
        <v>811513</v>
      </c>
      <c r="J87" s="21" t="s">
        <v>716</v>
      </c>
    </row>
    <row r="88" spans="1:10" x14ac:dyDescent="0.2">
      <c r="A88" s="57">
        <v>86</v>
      </c>
      <c r="B88" s="48" t="s">
        <v>728</v>
      </c>
      <c r="C88" s="48">
        <v>14</v>
      </c>
      <c r="D88" s="22" t="s">
        <v>7</v>
      </c>
      <c r="E88" s="21" t="str" cm="1">
        <f t="array" ref="E8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88" s="54" t="s">
        <v>606</v>
      </c>
      <c r="G88" s="21" t="str">
        <f>VLOOKUP(Table2535[[#This Row],[Offical_ID]],Master_Roster[[Offical ID]:[Last Name]],3,FALSE)</f>
        <v>Warren</v>
      </c>
      <c r="H88" s="21" t="s">
        <v>321</v>
      </c>
      <c r="I88" s="21">
        <v>814329</v>
      </c>
      <c r="J88" s="21" t="s">
        <v>717</v>
      </c>
    </row>
    <row r="89" spans="1:10" x14ac:dyDescent="0.2">
      <c r="A89" s="57">
        <v>87</v>
      </c>
      <c r="B89" s="48" t="s">
        <v>728</v>
      </c>
      <c r="C89" s="48">
        <v>15</v>
      </c>
      <c r="D89" s="22" t="s">
        <v>577</v>
      </c>
      <c r="E89" s="21" t="str" cm="1">
        <f t="array" ref="E8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89" s="54" t="s">
        <v>649</v>
      </c>
      <c r="G89" s="21" t="str">
        <f>VLOOKUP(Table2535[[#This Row],[Offical_ID]],Master_Roster[[Offical ID]:[Last Name]],3,FALSE)</f>
        <v>Dylan</v>
      </c>
      <c r="H89" s="21" t="s">
        <v>338</v>
      </c>
      <c r="I89" s="21">
        <v>811525</v>
      </c>
      <c r="J89" s="21" t="s">
        <v>717</v>
      </c>
    </row>
    <row r="90" spans="1:10" x14ac:dyDescent="0.2">
      <c r="A90" s="57">
        <v>88</v>
      </c>
      <c r="B90" s="48" t="s">
        <v>728</v>
      </c>
      <c r="C90" s="48">
        <v>16</v>
      </c>
      <c r="D90" s="22" t="s">
        <v>276</v>
      </c>
      <c r="E90" s="21" t="str" cm="1">
        <f t="array" ref="E9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0" s="54" t="s">
        <v>614</v>
      </c>
      <c r="G90" s="21" t="str">
        <f>VLOOKUP(Table2535[[#This Row],[Offical_ID]],Master_Roster[[Offical ID]:[Last Name]],3,FALSE)</f>
        <v>Jace</v>
      </c>
      <c r="H90" s="21" t="s">
        <v>93</v>
      </c>
      <c r="I90" s="21">
        <v>811723</v>
      </c>
      <c r="J90" s="21" t="s">
        <v>716</v>
      </c>
    </row>
    <row r="91" spans="1:10" x14ac:dyDescent="0.2">
      <c r="A91" s="57">
        <v>89</v>
      </c>
      <c r="B91" s="48" t="s">
        <v>728</v>
      </c>
      <c r="C91" s="48">
        <v>17</v>
      </c>
      <c r="D91" s="22" t="s">
        <v>10</v>
      </c>
      <c r="E91" s="21" t="str" cm="1">
        <f t="array" ref="E9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XL</v>
      </c>
      <c r="F91" s="54" t="s">
        <v>646</v>
      </c>
      <c r="G91" s="21" t="str">
        <f>VLOOKUP(Table2535[[#This Row],[Offical_ID]],Master_Roster[[Offical ID]:[Last Name]],3,FALSE)</f>
        <v>Pita</v>
      </c>
      <c r="H91" s="21" t="s">
        <v>338</v>
      </c>
      <c r="I91" s="21">
        <v>814331</v>
      </c>
      <c r="J91" s="21" t="s">
        <v>717</v>
      </c>
    </row>
    <row r="92" spans="1:10" x14ac:dyDescent="0.2">
      <c r="A92" s="57">
        <v>90</v>
      </c>
      <c r="B92" s="48" t="s">
        <v>728</v>
      </c>
      <c r="C92" s="48">
        <v>18</v>
      </c>
      <c r="D92" s="22" t="s">
        <v>14</v>
      </c>
      <c r="E92" s="21" t="str" cm="1">
        <f t="array" ref="E9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XXXL</v>
      </c>
      <c r="F92" s="54" t="s">
        <v>623</v>
      </c>
      <c r="G92" s="21" t="str">
        <f>VLOOKUP(Table2535[[#This Row],[Offical_ID]],Master_Roster[[Offical ID]:[Last Name]],3,FALSE)</f>
        <v>Brennon</v>
      </c>
      <c r="H92" s="21" t="s">
        <v>88</v>
      </c>
      <c r="I92" s="21">
        <v>814340</v>
      </c>
      <c r="J92" s="21" t="s">
        <v>717</v>
      </c>
    </row>
    <row r="93" spans="1:10" x14ac:dyDescent="0.2">
      <c r="A93" s="57">
        <v>91</v>
      </c>
      <c r="B93" s="48" t="s">
        <v>728</v>
      </c>
      <c r="C93" s="48">
        <v>19</v>
      </c>
      <c r="D93" s="22" t="s">
        <v>896</v>
      </c>
      <c r="E93" s="21" t="str" cm="1">
        <f t="array" ref="E9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3" s="54" t="s">
        <v>601</v>
      </c>
      <c r="G93" s="21" t="str">
        <f>VLOOKUP(Table2535[[#This Row],[Offical_ID]],Master_Roster[[Offical ID]:[Last Name]],3,FALSE)</f>
        <v>Diesel</v>
      </c>
      <c r="H93" s="21" t="s">
        <v>351</v>
      </c>
      <c r="I93" s="21">
        <v>814467</v>
      </c>
      <c r="J93" s="21" t="s">
        <v>717</v>
      </c>
    </row>
    <row r="94" spans="1:10" x14ac:dyDescent="0.2">
      <c r="A94" s="57">
        <v>92</v>
      </c>
      <c r="B94" s="48" t="s">
        <v>728</v>
      </c>
      <c r="C94" s="48">
        <v>20</v>
      </c>
      <c r="D94" s="22" t="s">
        <v>272</v>
      </c>
      <c r="E94" s="21" t="str" cm="1">
        <f t="array" ref="E9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4" s="54" t="s">
        <v>645</v>
      </c>
      <c r="G94" s="21" t="str">
        <f>VLOOKUP(Table2535[[#This Row],[Offical_ID]],Master_Roster[[Offical ID]:[Last Name]],3,FALSE)</f>
        <v>Koa</v>
      </c>
      <c r="H94" s="21" t="s">
        <v>351</v>
      </c>
      <c r="I94" s="21">
        <v>811722</v>
      </c>
      <c r="J94" s="21" t="s">
        <v>717</v>
      </c>
    </row>
    <row r="95" spans="1:10" x14ac:dyDescent="0.2">
      <c r="A95" s="57">
        <v>93</v>
      </c>
      <c r="B95" s="48" t="s">
        <v>728</v>
      </c>
      <c r="C95" s="48">
        <v>21</v>
      </c>
      <c r="D95" s="22" t="s">
        <v>283</v>
      </c>
      <c r="E95" s="21" t="str" cm="1">
        <f t="array" ref="E9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5" s="54" t="s">
        <v>603</v>
      </c>
      <c r="G95" s="21" t="str">
        <f>VLOOKUP(Table2535[[#This Row],[Offical_ID]],Master_Roster[[Offical ID]:[Last Name]],3,FALSE)</f>
        <v>Oscar</v>
      </c>
      <c r="H95" s="21" t="s">
        <v>351</v>
      </c>
      <c r="I95" s="21">
        <v>814338</v>
      </c>
      <c r="J95" s="21" t="s">
        <v>717</v>
      </c>
    </row>
    <row r="96" spans="1:10" x14ac:dyDescent="0.2">
      <c r="A96" s="57">
        <v>94</v>
      </c>
      <c r="B96" s="48" t="s">
        <v>728</v>
      </c>
      <c r="C96" s="48">
        <v>22</v>
      </c>
      <c r="D96" s="22" t="s">
        <v>32</v>
      </c>
      <c r="E96" s="21" t="s">
        <v>892</v>
      </c>
      <c r="F96" s="54" t="s">
        <v>613</v>
      </c>
      <c r="G96" s="21" t="str">
        <f>VLOOKUP(Table2535[[#This Row],[Offical_ID]],Master_Roster[[Offical ID]:[Last Name]],3,FALSE)</f>
        <v>Jayden</v>
      </c>
      <c r="H96" s="21" t="s">
        <v>321</v>
      </c>
      <c r="I96" s="21">
        <v>811516</v>
      </c>
      <c r="J96" s="21" t="s">
        <v>717</v>
      </c>
    </row>
    <row r="97" spans="1:10" x14ac:dyDescent="0.2">
      <c r="A97" s="57">
        <v>95</v>
      </c>
      <c r="B97" s="48" t="s">
        <v>728</v>
      </c>
      <c r="C97" s="48">
        <v>23</v>
      </c>
      <c r="D97" s="22" t="s">
        <v>300</v>
      </c>
      <c r="E97" s="21" t="str" cm="1">
        <f t="array" ref="E9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7" s="54" t="s">
        <v>608</v>
      </c>
      <c r="G97" s="21" t="str">
        <f>VLOOKUP(Table2535[[#This Row],[Offical_ID]],Master_Roster[[Offical ID]:[Last Name]],3,FALSE)</f>
        <v>Jalen</v>
      </c>
      <c r="H97" s="21" t="s">
        <v>351</v>
      </c>
      <c r="I97" s="21">
        <v>814597</v>
      </c>
      <c r="J97" s="21" t="s">
        <v>717</v>
      </c>
    </row>
    <row r="98" spans="1:10" x14ac:dyDescent="0.2">
      <c r="A98" s="57">
        <v>96</v>
      </c>
      <c r="B98" s="48" t="s">
        <v>728</v>
      </c>
      <c r="C98" s="48">
        <v>24</v>
      </c>
      <c r="D98" s="22" t="s">
        <v>299</v>
      </c>
      <c r="E98" s="21" t="str" cm="1">
        <f t="array" ref="E9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8" s="54" t="s">
        <v>580</v>
      </c>
      <c r="G98" s="21" t="str">
        <f>VLOOKUP(Table2535[[#This Row],[Offical_ID]],Master_Roster[[Offical ID]:[Last Name]],3,FALSE)</f>
        <v>Sam</v>
      </c>
      <c r="H98" s="21" t="s">
        <v>80</v>
      </c>
      <c r="I98" s="21">
        <v>814470</v>
      </c>
      <c r="J98" s="21" t="s">
        <v>716</v>
      </c>
    </row>
    <row r="99" spans="1:10" x14ac:dyDescent="0.2">
      <c r="A99" s="57">
        <v>97</v>
      </c>
      <c r="B99" s="48" t="s">
        <v>726</v>
      </c>
      <c r="C99" s="48">
        <v>1</v>
      </c>
      <c r="D99" s="22" t="s">
        <v>22</v>
      </c>
      <c r="E99" s="21" t="str" cm="1">
        <f t="array" ref="E9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99" s="54" t="s">
        <v>688</v>
      </c>
      <c r="G99" s="21" t="str">
        <f>VLOOKUP(Table2535[[#This Row],[Offical_ID]],Master_Roster[[Offical ID]:[Last Name]],3,FALSE)</f>
        <v>Dontae</v>
      </c>
      <c r="H99" s="21" t="s">
        <v>93</v>
      </c>
      <c r="I99" s="21">
        <v>811523</v>
      </c>
      <c r="J99" s="21" t="s">
        <v>716</v>
      </c>
    </row>
    <row r="100" spans="1:10" x14ac:dyDescent="0.2">
      <c r="A100" s="57">
        <v>98</v>
      </c>
      <c r="B100" s="48" t="s">
        <v>726</v>
      </c>
      <c r="C100" s="48">
        <v>2</v>
      </c>
      <c r="D100" s="22" t="s">
        <v>27</v>
      </c>
      <c r="E100" s="21" t="str" cm="1">
        <f t="array" ref="E10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0" s="23" t="s">
        <v>611</v>
      </c>
      <c r="G100" s="23" t="str">
        <f>VLOOKUP(Table2535[[#This Row],[Offical_ID]],Master_Roster[[Offical ID]:[Last Name]],3,FALSE)</f>
        <v>Damien</v>
      </c>
      <c r="H100" s="23" t="s">
        <v>93</v>
      </c>
      <c r="I100" s="23">
        <v>814345</v>
      </c>
      <c r="J100" s="23" t="s">
        <v>716</v>
      </c>
    </row>
    <row r="101" spans="1:10" x14ac:dyDescent="0.2">
      <c r="A101" s="57">
        <v>99</v>
      </c>
      <c r="B101" s="48" t="s">
        <v>726</v>
      </c>
      <c r="C101" s="48">
        <v>3</v>
      </c>
      <c r="D101" s="22" t="s">
        <v>20</v>
      </c>
      <c r="E101" s="21" t="str" cm="1">
        <f t="array" ref="E10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1" s="54" t="s">
        <v>620</v>
      </c>
      <c r="G101" s="21" t="str">
        <f>VLOOKUP(Table2535[[#This Row],[Offical_ID]],Master_Roster[[Offical ID]:[Last Name]],3,FALSE)</f>
        <v>Yebrell</v>
      </c>
      <c r="H101" s="21" t="s">
        <v>351</v>
      </c>
      <c r="I101" s="21">
        <v>811728</v>
      </c>
      <c r="J101" s="21" t="s">
        <v>717</v>
      </c>
    </row>
    <row r="102" spans="1:10" x14ac:dyDescent="0.2">
      <c r="A102" s="57">
        <v>100</v>
      </c>
      <c r="B102" s="48" t="s">
        <v>726</v>
      </c>
      <c r="C102" s="48">
        <v>4</v>
      </c>
      <c r="D102" s="22" t="s">
        <v>17</v>
      </c>
      <c r="E102" s="21" t="str" cm="1">
        <f t="array" ref="E10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2" s="54" t="s">
        <v>626</v>
      </c>
      <c r="G102" s="21" t="str">
        <f>VLOOKUP(Table2535[[#This Row],[Offical_ID]],Master_Roster[[Offical ID]:[Last Name]],3,FALSE)</f>
        <v>Kaleb</v>
      </c>
      <c r="H102" s="21" t="s">
        <v>351</v>
      </c>
      <c r="I102" s="21">
        <v>811734</v>
      </c>
      <c r="J102" s="21" t="s">
        <v>717</v>
      </c>
    </row>
    <row r="103" spans="1:10" x14ac:dyDescent="0.2">
      <c r="A103" s="57">
        <v>101</v>
      </c>
      <c r="B103" s="48" t="s">
        <v>726</v>
      </c>
      <c r="C103" s="48">
        <v>5</v>
      </c>
      <c r="D103" s="22" t="s">
        <v>8</v>
      </c>
      <c r="E103" s="21" t="str" cm="1">
        <f t="array" ref="E103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3" s="54" t="s">
        <v>594</v>
      </c>
      <c r="G103" s="21" t="str">
        <f>VLOOKUP(Table2535[[#This Row],[Offical_ID]],Master_Roster[[Offical ID]:[Last Name]],3,FALSE)</f>
        <v>Ricky</v>
      </c>
      <c r="H103" s="21" t="s">
        <v>321</v>
      </c>
      <c r="I103" s="21">
        <v>811735</v>
      </c>
      <c r="J103" s="21" t="s">
        <v>717</v>
      </c>
    </row>
    <row r="104" spans="1:10" x14ac:dyDescent="0.2">
      <c r="A104" s="57">
        <v>102</v>
      </c>
      <c r="B104" s="48" t="s">
        <v>726</v>
      </c>
      <c r="C104" s="48">
        <v>6</v>
      </c>
      <c r="D104" s="22" t="s">
        <v>270</v>
      </c>
      <c r="E104" s="21" t="str" cm="1">
        <f t="array" ref="E104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4" s="54" t="s">
        <v>617</v>
      </c>
      <c r="G104" s="21" t="str">
        <f>VLOOKUP(Table2535[[#This Row],[Offical_ID]],Master_Roster[[Offical ID]:[Last Name]],3,FALSE)</f>
        <v>Jason</v>
      </c>
      <c r="H104" s="21" t="s">
        <v>321</v>
      </c>
      <c r="I104" s="21">
        <v>814468</v>
      </c>
      <c r="J104" s="21" t="s">
        <v>717</v>
      </c>
    </row>
    <row r="105" spans="1:10" x14ac:dyDescent="0.2">
      <c r="A105" s="57">
        <v>103</v>
      </c>
      <c r="B105" s="48" t="s">
        <v>726</v>
      </c>
      <c r="C105" s="48">
        <v>7</v>
      </c>
      <c r="D105" s="22" t="s">
        <v>31</v>
      </c>
      <c r="E105" s="21" t="str" cm="1">
        <f t="array" ref="E105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5" s="54" t="s">
        <v>595</v>
      </c>
      <c r="G105" s="21" t="str">
        <f>VLOOKUP(Table2535[[#This Row],[Offical_ID]],Master_Roster[[Offical ID]:[Last Name]],3,FALSE)</f>
        <v>Savion</v>
      </c>
      <c r="H105" s="21" t="s">
        <v>80</v>
      </c>
      <c r="I105" s="21">
        <v>811511</v>
      </c>
      <c r="J105" s="21" t="s">
        <v>716</v>
      </c>
    </row>
    <row r="106" spans="1:10" x14ac:dyDescent="0.2">
      <c r="A106" s="57">
        <v>104</v>
      </c>
      <c r="B106" s="48" t="s">
        <v>726</v>
      </c>
      <c r="C106" s="48">
        <v>8</v>
      </c>
      <c r="D106" s="22" t="s">
        <v>41</v>
      </c>
      <c r="E106" s="21" t="str" cm="1">
        <f t="array" ref="E106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6" s="54" t="s">
        <v>597</v>
      </c>
      <c r="G106" s="21" t="str">
        <f>VLOOKUP(Table2535[[#This Row],[Offical_ID]],Master_Roster[[Offical ID]:[Last Name]],3,FALSE)</f>
        <v>Rodney</v>
      </c>
      <c r="H106" s="21" t="s">
        <v>80</v>
      </c>
      <c r="I106" s="21">
        <v>811518</v>
      </c>
      <c r="J106" s="21" t="s">
        <v>716</v>
      </c>
    </row>
    <row r="107" spans="1:10" x14ac:dyDescent="0.2">
      <c r="A107" s="57">
        <v>105</v>
      </c>
      <c r="B107" s="48" t="s">
        <v>726</v>
      </c>
      <c r="C107" s="48">
        <v>9</v>
      </c>
      <c r="D107" s="22" t="s">
        <v>16</v>
      </c>
      <c r="E107" s="21" t="str" cm="1">
        <f t="array" ref="E107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7" s="23" t="s">
        <v>596</v>
      </c>
      <c r="G107" s="23" t="str">
        <f>VLOOKUP(Table2535[[#This Row],[Offical_ID]],Master_Roster[[Offical ID]:[Last Name]],3,FALSE)</f>
        <v>Jamar</v>
      </c>
      <c r="H107" s="23" t="s">
        <v>80</v>
      </c>
      <c r="I107" s="23">
        <v>811524</v>
      </c>
      <c r="J107" s="23" t="s">
        <v>716</v>
      </c>
    </row>
    <row r="108" spans="1:10" x14ac:dyDescent="0.2">
      <c r="A108" s="57">
        <v>106</v>
      </c>
      <c r="B108" s="48" t="s">
        <v>726</v>
      </c>
      <c r="C108" s="48">
        <v>10</v>
      </c>
      <c r="D108" s="22" t="s">
        <v>15</v>
      </c>
      <c r="E108" s="21" t="str" cm="1">
        <f t="array" ref="E108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8" s="23" t="s">
        <v>616</v>
      </c>
      <c r="G108" s="23" t="str">
        <f>VLOOKUP(Table2535[[#This Row],[Offical_ID]],Master_Roster[[Offical ID]:[Last Name]],3,FALSE)</f>
        <v>Gavin</v>
      </c>
      <c r="H108" s="23" t="s">
        <v>93</v>
      </c>
      <c r="I108" s="23">
        <v>811515</v>
      </c>
      <c r="J108" s="23" t="s">
        <v>716</v>
      </c>
    </row>
    <row r="109" spans="1:10" x14ac:dyDescent="0.2">
      <c r="A109" s="57">
        <v>107</v>
      </c>
      <c r="B109" s="48" t="s">
        <v>726</v>
      </c>
      <c r="C109" s="48">
        <v>11</v>
      </c>
      <c r="D109" s="22" t="s">
        <v>364</v>
      </c>
      <c r="E109" s="21" t="str" cm="1">
        <f t="array" ref="E109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09" s="23" t="s">
        <v>609</v>
      </c>
      <c r="G109" s="23" t="str">
        <f>VLOOKUP(Table2535[[#This Row],[Offical_ID]],Master_Roster[[Offical ID]:[Last Name]],3,FALSE)</f>
        <v>Tim</v>
      </c>
      <c r="H109" s="23" t="s">
        <v>93</v>
      </c>
      <c r="I109" s="23">
        <v>811522</v>
      </c>
      <c r="J109" s="23" t="s">
        <v>716</v>
      </c>
    </row>
    <row r="110" spans="1:10" x14ac:dyDescent="0.2">
      <c r="A110" s="57">
        <v>108</v>
      </c>
      <c r="B110" s="48" t="s">
        <v>726</v>
      </c>
      <c r="C110" s="48">
        <v>12</v>
      </c>
      <c r="D110" s="22" t="s">
        <v>30</v>
      </c>
      <c r="E110" s="21" t="str" cm="1">
        <f t="array" ref="E110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Spec</v>
      </c>
      <c r="F110" s="23" t="s">
        <v>660</v>
      </c>
      <c r="G110" s="23" t="str">
        <f>VLOOKUP(Table2535[[#This Row],[Offical_ID]],Master_Roster[[Offical ID]:[Last Name]],3,FALSE)</f>
        <v>Grant</v>
      </c>
      <c r="H110" s="23" t="s">
        <v>202</v>
      </c>
      <c r="I110" s="23">
        <v>811514</v>
      </c>
      <c r="J110" s="23"/>
    </row>
    <row r="111" spans="1:10" x14ac:dyDescent="0.2">
      <c r="A111" s="57">
        <v>109</v>
      </c>
      <c r="B111" s="48" t="s">
        <v>726</v>
      </c>
      <c r="C111" s="48">
        <v>13</v>
      </c>
      <c r="D111" s="22" t="s">
        <v>34</v>
      </c>
      <c r="E111" s="21" t="str" cm="1">
        <f t="array" ref="E111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11" s="23" t="s">
        <v>607</v>
      </c>
      <c r="G111" s="23" t="str">
        <f>VLOOKUP(Table2535[[#This Row],[Offical_ID]],Master_Roster[[Offical ID]:[Last Name]],3,FALSE)</f>
        <v>Cardell</v>
      </c>
      <c r="H111" s="23" t="s">
        <v>99</v>
      </c>
      <c r="I111" s="23">
        <v>811737</v>
      </c>
      <c r="J111" s="23" t="s">
        <v>716</v>
      </c>
    </row>
    <row r="112" spans="1:10" x14ac:dyDescent="0.2">
      <c r="A112" s="57">
        <v>110</v>
      </c>
      <c r="B112" s="48" t="s">
        <v>726</v>
      </c>
      <c r="C112" s="48">
        <v>14</v>
      </c>
      <c r="D112" s="22" t="s">
        <v>578</v>
      </c>
      <c r="E112" s="21" t="str" cm="1">
        <f t="array" ref="E112">_xlfn.IFS(OR(Table2535[[#This Row],[Position]]="S",Table2535[[#This Row],[Position]]="CB",Table2535[[#This Row],[Position]]="RB",Table2535[[#This Row],[Position]]="QB",Table2535[[#This Row],[Position]]="WR"),"L",OR(Table2535[[#This Row],[Position]]="ILB",Table2535[[#This Row],[Position]]="OLB",Table2535[[#This Row],[Position]]="TE"),"XL",OR(Table2535[[#This Row],[Position]]="OL",Table2535[[#This Row],[Position]]="DL"),"XXXL",OR(Table2535[[#This Row],[Position]]="LS",Table2535[[#This Row],[Position]]="K",Table2535[[#This Row],[Position]]="P"),"Spec")</f>
        <v>L</v>
      </c>
      <c r="F112" s="55" t="s">
        <v>605</v>
      </c>
      <c r="G112" s="23" t="str">
        <f>VLOOKUP(Table2535[[#This Row],[Offical_ID]],Master_Roster[[Offical ID]:[Last Name]],3,FALSE)</f>
        <v>Jamar</v>
      </c>
      <c r="H112" s="23" t="s">
        <v>99</v>
      </c>
      <c r="I112" s="23">
        <v>814447</v>
      </c>
      <c r="J112" s="23" t="s">
        <v>716</v>
      </c>
    </row>
  </sheetData>
  <printOptions horizontalCentered="1"/>
  <pageMargins left="0.25" right="0.25" top="0.25" bottom="0.25" header="0.3" footer="0.3"/>
  <pageSetup scale="68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EE00-D4C8-4E8D-AE85-EBEA10848845}">
  <dimension ref="A3:I28"/>
  <sheetViews>
    <sheetView workbookViewId="0">
      <selection activeCell="E14" sqref="E14"/>
    </sheetView>
  </sheetViews>
  <sheetFormatPr defaultRowHeight="15" x14ac:dyDescent="0.2"/>
  <cols>
    <col min="1" max="1" width="13.44921875" bestFit="1" customWidth="1"/>
    <col min="2" max="2" width="16.8125" bestFit="1" customWidth="1"/>
  </cols>
  <sheetData>
    <row r="3" spans="1:9" x14ac:dyDescent="0.2">
      <c r="A3" s="27" t="s">
        <v>719</v>
      </c>
      <c r="B3" t="s">
        <v>721</v>
      </c>
    </row>
    <row r="4" spans="1:9" x14ac:dyDescent="0.2">
      <c r="A4" s="28" t="s">
        <v>717</v>
      </c>
      <c r="B4">
        <v>50</v>
      </c>
      <c r="H4" s="109" t="s">
        <v>729</v>
      </c>
      <c r="I4" s="109"/>
    </row>
    <row r="5" spans="1:9" x14ac:dyDescent="0.2">
      <c r="A5" s="29" t="s">
        <v>88</v>
      </c>
      <c r="B5">
        <v>14</v>
      </c>
      <c r="C5" t="s">
        <v>724</v>
      </c>
      <c r="D5">
        <v>14</v>
      </c>
      <c r="H5" t="s">
        <v>88</v>
      </c>
      <c r="I5" t="s">
        <v>724</v>
      </c>
    </row>
    <row r="6" spans="1:9" x14ac:dyDescent="0.2">
      <c r="A6" s="29" t="s">
        <v>321</v>
      </c>
      <c r="B6">
        <v>9</v>
      </c>
      <c r="C6" t="s">
        <v>728</v>
      </c>
      <c r="D6">
        <v>9</v>
      </c>
      <c r="H6" t="s">
        <v>321</v>
      </c>
      <c r="I6" t="s">
        <v>728</v>
      </c>
    </row>
    <row r="7" spans="1:9" x14ac:dyDescent="0.2">
      <c r="A7" s="29" t="s">
        <v>425</v>
      </c>
      <c r="B7">
        <v>8</v>
      </c>
      <c r="C7" t="s">
        <v>728</v>
      </c>
      <c r="D7">
        <v>8</v>
      </c>
      <c r="H7" t="s">
        <v>425</v>
      </c>
      <c r="I7" t="s">
        <v>728</v>
      </c>
    </row>
    <row r="8" spans="1:9" x14ac:dyDescent="0.2">
      <c r="A8" s="29" t="s">
        <v>338</v>
      </c>
      <c r="B8">
        <v>6</v>
      </c>
      <c r="C8" t="s">
        <v>728</v>
      </c>
      <c r="D8">
        <v>6</v>
      </c>
      <c r="H8" t="s">
        <v>338</v>
      </c>
      <c r="I8" t="s">
        <v>728</v>
      </c>
    </row>
    <row r="9" spans="1:9" x14ac:dyDescent="0.2">
      <c r="A9" s="29" t="s">
        <v>351</v>
      </c>
      <c r="B9">
        <v>13</v>
      </c>
      <c r="C9" t="s">
        <v>726</v>
      </c>
      <c r="D9">
        <v>13</v>
      </c>
      <c r="H9" t="s">
        <v>351</v>
      </c>
      <c r="I9" t="s">
        <v>726</v>
      </c>
    </row>
    <row r="10" spans="1:9" x14ac:dyDescent="0.2">
      <c r="A10" s="28" t="s">
        <v>716</v>
      </c>
      <c r="B10">
        <v>54</v>
      </c>
    </row>
    <row r="11" spans="1:9" x14ac:dyDescent="0.2">
      <c r="A11" s="29" t="s">
        <v>99</v>
      </c>
      <c r="B11">
        <v>3</v>
      </c>
      <c r="C11" t="s">
        <v>725</v>
      </c>
      <c r="D11">
        <v>3</v>
      </c>
      <c r="H11" t="s">
        <v>99</v>
      </c>
      <c r="I11" t="s">
        <v>725</v>
      </c>
    </row>
    <row r="12" spans="1:9" x14ac:dyDescent="0.2">
      <c r="A12" s="29" t="s">
        <v>93</v>
      </c>
      <c r="B12">
        <v>15</v>
      </c>
      <c r="C12" t="s">
        <v>725</v>
      </c>
      <c r="D12">
        <v>15</v>
      </c>
      <c r="H12" t="s">
        <v>93</v>
      </c>
      <c r="I12" t="s">
        <v>725</v>
      </c>
    </row>
    <row r="13" spans="1:9" x14ac:dyDescent="0.2">
      <c r="A13" s="29" t="s">
        <v>80</v>
      </c>
      <c r="B13">
        <v>10</v>
      </c>
      <c r="C13" t="s">
        <v>724</v>
      </c>
      <c r="D13">
        <v>10</v>
      </c>
      <c r="H13" t="s">
        <v>80</v>
      </c>
      <c r="I13" t="s">
        <v>724</v>
      </c>
    </row>
    <row r="14" spans="1:9" x14ac:dyDescent="0.2">
      <c r="A14" s="29" t="s">
        <v>139</v>
      </c>
      <c r="B14">
        <v>6</v>
      </c>
      <c r="C14" t="s">
        <v>725</v>
      </c>
      <c r="D14">
        <v>6</v>
      </c>
      <c r="H14" t="s">
        <v>139</v>
      </c>
      <c r="I14" t="s">
        <v>725</v>
      </c>
    </row>
    <row r="15" spans="1:9" x14ac:dyDescent="0.2">
      <c r="A15" s="29" t="s">
        <v>205</v>
      </c>
      <c r="B15">
        <v>19</v>
      </c>
      <c r="C15" t="s">
        <v>727</v>
      </c>
      <c r="D15">
        <v>19</v>
      </c>
      <c r="H15" t="s">
        <v>205</v>
      </c>
      <c r="I15" t="s">
        <v>727</v>
      </c>
    </row>
    <row r="16" spans="1:9" x14ac:dyDescent="0.2">
      <c r="A16" s="29" t="s">
        <v>483</v>
      </c>
      <c r="B16">
        <v>1</v>
      </c>
      <c r="C16" t="s">
        <v>727</v>
      </c>
      <c r="D16">
        <v>1</v>
      </c>
      <c r="H16" t="s">
        <v>483</v>
      </c>
      <c r="I16" t="s">
        <v>727</v>
      </c>
    </row>
    <row r="17" spans="1:5" x14ac:dyDescent="0.2">
      <c r="A17" s="28" t="s">
        <v>722</v>
      </c>
      <c r="B17">
        <v>6</v>
      </c>
    </row>
    <row r="18" spans="1:5" x14ac:dyDescent="0.2">
      <c r="A18" s="29" t="s">
        <v>202</v>
      </c>
      <c r="B18">
        <v>2</v>
      </c>
    </row>
    <row r="19" spans="1:5" x14ac:dyDescent="0.2">
      <c r="A19" s="29" t="s">
        <v>188</v>
      </c>
      <c r="B19">
        <v>2</v>
      </c>
    </row>
    <row r="20" spans="1:5" x14ac:dyDescent="0.2">
      <c r="A20" s="29" t="s">
        <v>262</v>
      </c>
      <c r="B20">
        <v>2</v>
      </c>
    </row>
    <row r="21" spans="1:5" x14ac:dyDescent="0.2">
      <c r="A21" s="28" t="s">
        <v>720</v>
      </c>
      <c r="B21">
        <v>110</v>
      </c>
    </row>
    <row r="23" spans="1:5" x14ac:dyDescent="0.2">
      <c r="D23" t="str" cm="1">
        <f t="array" ref="D23:D28">_xlfn.UNIQUE(C$5:C$20)</f>
        <v>Dock 1</v>
      </c>
      <c r="E23">
        <f>SUMIFS(D$4:D$21,C$4:C$21,D23)</f>
        <v>24</v>
      </c>
    </row>
    <row r="24" spans="1:5" x14ac:dyDescent="0.2">
      <c r="D24" t="str">
        <v>Dock 4</v>
      </c>
      <c r="E24">
        <f>SUMIFS(D$4:D$21,C$4:C$21,D24)</f>
        <v>23</v>
      </c>
    </row>
    <row r="25" spans="1:5" x14ac:dyDescent="0.2">
      <c r="D25" t="str">
        <v>Dock 5</v>
      </c>
      <c r="E25">
        <f t="shared" ref="E25:E28" si="0">SUMIFS(D$4:D$21,C$4:C$21,D25)</f>
        <v>13</v>
      </c>
    </row>
    <row r="26" spans="1:5" x14ac:dyDescent="0.2">
      <c r="D26">
        <v>0</v>
      </c>
      <c r="E26">
        <f t="shared" si="0"/>
        <v>0</v>
      </c>
    </row>
    <row r="27" spans="1:5" x14ac:dyDescent="0.2">
      <c r="D27" t="str">
        <v>Dock 2</v>
      </c>
      <c r="E27">
        <f t="shared" si="0"/>
        <v>24</v>
      </c>
    </row>
    <row r="28" spans="1:5" x14ac:dyDescent="0.2">
      <c r="D28" t="str">
        <v>Dock 3</v>
      </c>
      <c r="E28">
        <f t="shared" si="0"/>
        <v>20</v>
      </c>
    </row>
  </sheetData>
  <mergeCells count="1">
    <mergeCell ref="H4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85AA-6320-4E7E-AB5C-4B11942479D0}">
  <dimension ref="A1:B3"/>
  <sheetViews>
    <sheetView workbookViewId="0">
      <selection activeCell="A4" sqref="A4"/>
    </sheetView>
  </sheetViews>
  <sheetFormatPr defaultRowHeight="15" x14ac:dyDescent="0.2"/>
  <sheetData>
    <row r="1" spans="1:2" x14ac:dyDescent="0.2">
      <c r="A1" t="s">
        <v>271</v>
      </c>
      <c r="B1" t="s">
        <v>576</v>
      </c>
    </row>
    <row r="2" spans="1:2" x14ac:dyDescent="0.2">
      <c r="A2" t="s">
        <v>578</v>
      </c>
      <c r="B2" t="s">
        <v>579</v>
      </c>
    </row>
    <row r="3" spans="1:2" x14ac:dyDescent="0.2">
      <c r="A3" t="s">
        <v>284</v>
      </c>
      <c r="B3" t="s">
        <v>576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514E-C930-4304-9080-EC4332A5660F}">
  <sheetPr>
    <pageSetUpPr fitToPage="1"/>
  </sheetPr>
  <dimension ref="A1:L113"/>
  <sheetViews>
    <sheetView workbookViewId="0">
      <selection activeCell="A138" sqref="A138"/>
    </sheetView>
  </sheetViews>
  <sheetFormatPr defaultRowHeight="15" x14ac:dyDescent="0.2"/>
  <cols>
    <col min="1" max="1" width="22.1953125" style="44" customWidth="1"/>
    <col min="2" max="3" width="22.1953125" hidden="1" customWidth="1"/>
    <col min="4" max="4" width="8.7421875" customWidth="1"/>
    <col min="5" max="5" width="12.64453125" customWidth="1"/>
    <col min="6" max="6" width="17.484375" customWidth="1"/>
    <col min="7" max="9" width="12.64453125" customWidth="1"/>
    <col min="10" max="10" width="12.10546875" customWidth="1"/>
    <col min="11" max="12" width="12.64453125" customWidth="1"/>
  </cols>
  <sheetData>
    <row r="1" spans="1:12" ht="33.75" customHeight="1" x14ac:dyDescent="0.55000000000000004">
      <c r="A1" s="110" t="s">
        <v>921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s="77" customFormat="1" ht="39.950000000000003" customHeight="1" x14ac:dyDescent="0.25">
      <c r="A2" s="75" t="s">
        <v>592</v>
      </c>
      <c r="B2" s="67" t="s">
        <v>705</v>
      </c>
      <c r="C2" s="66" t="s">
        <v>922</v>
      </c>
      <c r="D2" s="76" t="s">
        <v>920</v>
      </c>
      <c r="E2" s="76" t="s">
        <v>904</v>
      </c>
      <c r="F2" s="76" t="s">
        <v>905</v>
      </c>
      <c r="G2" s="76" t="s">
        <v>900</v>
      </c>
      <c r="H2" s="76" t="s">
        <v>901</v>
      </c>
      <c r="I2" s="76" t="s">
        <v>902</v>
      </c>
      <c r="J2" s="76" t="s">
        <v>903</v>
      </c>
      <c r="K2" s="76" t="s">
        <v>924</v>
      </c>
      <c r="L2" s="76" t="s">
        <v>925</v>
      </c>
    </row>
    <row r="3" spans="1:12" ht="16.5" x14ac:dyDescent="0.2">
      <c r="A3" s="48" t="s">
        <v>271</v>
      </c>
      <c r="B3" s="54" t="s">
        <v>736</v>
      </c>
      <c r="C3" s="21" t="str">
        <f>CONCATENATE(VLOOKUP(Draft[[#This Row],[Offical ID]],Master_Roster[[Offical ID]:[Last Name]],4,FALSE)," ",VLOOKUP(Draft[[#This Row],[Offical ID]],Master_Roster[[Offical ID]:[Last Name]],3,FALSE))</f>
        <v>Hall Agiye</v>
      </c>
      <c r="D3" s="21" t="s">
        <v>327</v>
      </c>
      <c r="E3" s="21"/>
      <c r="F3" s="73">
        <v>193.6</v>
      </c>
      <c r="G3" s="30">
        <v>370</v>
      </c>
      <c r="H3" s="30">
        <v>240</v>
      </c>
      <c r="I3" s="30">
        <v>225</v>
      </c>
      <c r="J3" s="74" t="e">
        <f>_xlfn.MAXIFS([1]Max_Speed_Accel_Decel!$J$2:$J$287,[1]Max_Speed_Accel_Decel!$C$2:$C$287,Draft[[#This Row],[Offical ID]])</f>
        <v>#VALUE!</v>
      </c>
      <c r="K3" s="103">
        <v>40</v>
      </c>
      <c r="L3" s="104" t="s">
        <v>926</v>
      </c>
    </row>
    <row r="4" spans="1:12" hidden="1" x14ac:dyDescent="0.2">
      <c r="A4" s="69" t="s">
        <v>60</v>
      </c>
      <c r="B4" s="70" t="s">
        <v>664</v>
      </c>
      <c r="C4" s="23" t="str">
        <f>CONCATENATE(VLOOKUP(Draft[[#This Row],[Offical ID]],Master_Roster[[Offical ID]:[Last Name]],4,FALSE)," ",VLOOKUP(Draft[[#This Row],[Offical ID]],Master_Roster[[Offical ID]:[Last Name]],3,FALSE))</f>
        <v>Bailey Miles</v>
      </c>
      <c r="D4" s="23" t="str">
        <f>VLOOKUP(Draft[[#This Row],[Offical ID]],Table5[[Offical Id]:[Year]],3,FALSE)</f>
        <v>Jr.</v>
      </c>
      <c r="E4" s="23" t="e">
        <v>#N/A</v>
      </c>
      <c r="F4" s="63">
        <v>287.60000000000002</v>
      </c>
      <c r="G4" s="9">
        <v>450</v>
      </c>
      <c r="H4" s="9">
        <v>320</v>
      </c>
      <c r="I4" s="9">
        <v>285</v>
      </c>
      <c r="J4" s="9" t="e">
        <f>_xlfn.MAXIFS([1]Max_Speed_Accel_Decel!$J$2:$J$287,[1]Max_Speed_Accel_Decel!$C$2:$C$287,Draft[[#This Row],[Offical ID]])</f>
        <v>#VALUE!</v>
      </c>
      <c r="K4" s="9"/>
      <c r="L4" s="9"/>
    </row>
    <row r="5" spans="1:12" ht="16.5" x14ac:dyDescent="0.2">
      <c r="A5" s="48" t="s">
        <v>55</v>
      </c>
      <c r="B5" s="54" t="s">
        <v>680</v>
      </c>
      <c r="C5" s="21" t="str">
        <f>CONCATENATE(VLOOKUP(Draft[[#This Row],[Offical ID]],Master_Roster[[Offical ID]:[Last Name]],4,FALSE)," ",VLOOKUP(Draft[[#This Row],[Offical ID]],Master_Roster[[Offical ID]:[Last Name]],3,FALSE))</f>
        <v>Meek Aidan</v>
      </c>
      <c r="D5" s="21" t="str">
        <f>VLOOKUP(Draft[[#This Row],[Offical ID]],Table5[[Offical Id]:[Year]],3,FALSE)</f>
        <v>Sr.</v>
      </c>
      <c r="E5" s="21">
        <v>6056</v>
      </c>
      <c r="F5" s="73">
        <v>296.39999999999998</v>
      </c>
      <c r="G5" s="30">
        <v>485</v>
      </c>
      <c r="H5" s="30">
        <v>365</v>
      </c>
      <c r="I5" s="30">
        <v>305</v>
      </c>
      <c r="J5" s="74" t="e">
        <f>_xlfn.MAXIFS([1]Max_Speed_Accel_Decel!$J$2:$J$287,[1]Max_Speed_Accel_Decel!$C$2:$C$287,Draft[[#This Row],[Offical ID]])</f>
        <v>#VALUE!</v>
      </c>
      <c r="K5" s="103">
        <v>24.5</v>
      </c>
      <c r="L5" s="103" t="s">
        <v>927</v>
      </c>
    </row>
    <row r="6" spans="1:12" hidden="1" x14ac:dyDescent="0.2">
      <c r="A6" s="71" t="s">
        <v>63</v>
      </c>
      <c r="B6" s="24" t="s">
        <v>672</v>
      </c>
      <c r="C6" s="23" t="str">
        <f>CONCATENATE(VLOOKUP(Draft[[#This Row],[Offical ID]],Master_Roster[[Offical ID]:[Last Name]],4,FALSE)," ",VLOOKUP(Draft[[#This Row],[Offical ID]],Master_Roster[[Offical ID]:[Last Name]],3,FALSE))</f>
        <v>Gretlein Cade</v>
      </c>
      <c r="D6" s="23" t="str">
        <f>VLOOKUP(Draft[[#This Row],[Offical ID]],Table5[[Offical Id]:[Year]],3,FALSE)</f>
        <v>So.</v>
      </c>
      <c r="E6" s="23">
        <v>5061</v>
      </c>
      <c r="F6" s="63">
        <v>293.2</v>
      </c>
      <c r="G6" s="9">
        <v>605</v>
      </c>
      <c r="H6" s="9">
        <v>360</v>
      </c>
      <c r="I6" s="9">
        <v>315</v>
      </c>
      <c r="J6" s="9" t="e">
        <f>_xlfn.MAXIFS([1]Max_Speed_Accel_Decel!$J$2:$J$287,[1]Max_Speed_Accel_Decel!$C$2:$C$287,Draft[[#This Row],[Offical ID]])</f>
        <v>#VALUE!</v>
      </c>
      <c r="K6" s="9"/>
      <c r="L6" s="9"/>
    </row>
    <row r="7" spans="1:12" hidden="1" x14ac:dyDescent="0.2">
      <c r="A7" s="68" t="s">
        <v>292</v>
      </c>
      <c r="B7" s="25" t="s">
        <v>665</v>
      </c>
      <c r="C7" s="23" t="str">
        <f>CONCATENATE(VLOOKUP(Draft[[#This Row],[Offical ID]],Master_Roster[[Offical ID]:[Last Name]],4,FALSE)," ",VLOOKUP(Draft[[#This Row],[Offical ID]],Master_Roster[[Offical ID]:[Last Name]],3,FALSE))</f>
        <v>Hampsten Dylan</v>
      </c>
      <c r="D7" s="23" t="str">
        <f>VLOOKUP(Draft[[#This Row],[Offical ID]],Table5[[Offical Id]:[Year]],3,FALSE)</f>
        <v>R-So.</v>
      </c>
      <c r="E7" s="23">
        <v>5061</v>
      </c>
      <c r="F7" s="63">
        <v>239.6</v>
      </c>
      <c r="G7" s="9">
        <v>480</v>
      </c>
      <c r="H7" s="9">
        <v>305</v>
      </c>
      <c r="I7" s="9">
        <v>295</v>
      </c>
      <c r="J7" s="9" t="e">
        <f>_xlfn.MAXIFS([1]Max_Speed_Accel_Decel!$J$2:$J$287,[1]Max_Speed_Accel_Decel!$C$2:$C$287,Draft[[#This Row],[Offical ID]])</f>
        <v>#VALUE!</v>
      </c>
      <c r="K7" s="9"/>
      <c r="L7" s="9"/>
    </row>
    <row r="8" spans="1:12" ht="16.5" x14ac:dyDescent="0.2">
      <c r="A8" s="48" t="s">
        <v>56</v>
      </c>
      <c r="B8" s="54" t="s">
        <v>678</v>
      </c>
      <c r="C8" s="21" t="str">
        <f>CONCATENATE(VLOOKUP(Draft[[#This Row],[Offical ID]],Master_Roster[[Offical ID]:[Last Name]],4,FALSE)," ",VLOOKUP(Draft[[#This Row],[Offical ID]],Master_Roster[[Offical ID]:[Last Name]],3,FALSE))</f>
        <v>Hays Sawyer</v>
      </c>
      <c r="D8" s="21" t="str">
        <f>VLOOKUP(Draft[[#This Row],[Offical ID]],Table5[[Offical Id]:[Year]],3,FALSE)</f>
        <v>Sr.</v>
      </c>
      <c r="E8" s="21">
        <v>6050</v>
      </c>
      <c r="F8" s="73">
        <v>293.2</v>
      </c>
      <c r="G8" s="30">
        <v>490</v>
      </c>
      <c r="H8" s="30">
        <v>350</v>
      </c>
      <c r="I8" s="30">
        <v>315</v>
      </c>
      <c r="J8" s="74" t="e">
        <f>_xlfn.MAXIFS([1]Max_Speed_Accel_Decel!$J$2:$J$287,[1]Max_Speed_Accel_Decel!$C$2:$C$287,Draft[[#This Row],[Offical ID]])</f>
        <v>#VALUE!</v>
      </c>
      <c r="K8" s="103">
        <v>26</v>
      </c>
      <c r="L8" s="103" t="s">
        <v>927</v>
      </c>
    </row>
    <row r="9" spans="1:12" ht="16.5" x14ac:dyDescent="0.2">
      <c r="A9" s="48" t="s">
        <v>66</v>
      </c>
      <c r="B9" s="54" t="s">
        <v>662</v>
      </c>
      <c r="C9" s="21" t="str">
        <f>CONCATENATE(VLOOKUP(Draft[[#This Row],[Offical ID]],Master_Roster[[Offical ID]:[Last Name]],4,FALSE)," ",VLOOKUP(Draft[[#This Row],[Offical ID]],Master_Roster[[Offical ID]:[Last Name]],3,FALSE))</f>
        <v>Abdullah Dean</v>
      </c>
      <c r="D9" s="21" t="str">
        <f>VLOOKUP(Draft[[#This Row],[Offical ID]],Table5[[Offical Id]:[Year]],3,FALSE)</f>
        <v>Sr.</v>
      </c>
      <c r="E9" s="21">
        <v>6040</v>
      </c>
      <c r="F9" s="73">
        <v>294.60000000000002</v>
      </c>
      <c r="G9" s="30">
        <v>530</v>
      </c>
      <c r="H9" s="30">
        <v>390</v>
      </c>
      <c r="I9" s="30">
        <v>295</v>
      </c>
      <c r="J9" s="74" t="e">
        <f>_xlfn.MAXIFS([1]Max_Speed_Accel_Decel!$J$2:$J$287,[1]Max_Speed_Accel_Decel!$C$2:$C$287,Draft[[#This Row],[Offical ID]])</f>
        <v>#VALUE!</v>
      </c>
      <c r="K9" s="103">
        <v>23.5</v>
      </c>
      <c r="L9" s="104" t="s">
        <v>928</v>
      </c>
    </row>
    <row r="10" spans="1:12" ht="16.5" x14ac:dyDescent="0.2">
      <c r="A10" s="48" t="s">
        <v>459</v>
      </c>
      <c r="B10" s="54" t="s">
        <v>580</v>
      </c>
      <c r="C10" s="21" t="str">
        <f>CONCATENATE(VLOOKUP(Draft[[#This Row],[Offical ID]],Master_Roster[[Offical ID]:[Last Name]],4,FALSE)," ",VLOOKUP(Draft[[#This Row],[Offical ID]],Master_Roster[[Offical ID]:[Last Name]],3,FALSE))</f>
        <v>Adams Sam</v>
      </c>
      <c r="D10" s="21" t="str">
        <f>VLOOKUP(Draft[[#This Row],[Offical ID]],Table5[[Offical Id]:[Year]],3,FALSE)</f>
        <v>Sr.</v>
      </c>
      <c r="E10" s="21"/>
      <c r="F10" s="73">
        <v>222</v>
      </c>
      <c r="G10" s="30">
        <v>450</v>
      </c>
      <c r="H10" s="30">
        <v>300</v>
      </c>
      <c r="I10" s="30">
        <v>265</v>
      </c>
      <c r="J10" s="74" t="e">
        <f>_xlfn.MAXIFS([1]Max_Speed_Accel_Decel!$J$2:$J$287,[1]Max_Speed_Accel_Decel!$C$2:$C$287,Draft[[#This Row],[Offical ID]])</f>
        <v>#VALUE!</v>
      </c>
      <c r="K10" s="103">
        <v>36</v>
      </c>
      <c r="L10" s="104"/>
    </row>
    <row r="11" spans="1:12" hidden="1" x14ac:dyDescent="0.2">
      <c r="A11" s="71" t="s">
        <v>70</v>
      </c>
      <c r="B11" s="24" t="s">
        <v>690</v>
      </c>
      <c r="C11" s="23" t="str">
        <f>CONCATENATE(VLOOKUP(Draft[[#This Row],[Offical ID]],Master_Roster[[Offical ID]:[Last Name]],4,FALSE)," ",VLOOKUP(Draft[[#This Row],[Offical ID]],Master_Roster[[Offical ID]:[Last Name]],3,FALSE))</f>
        <v>Ambuehl Davis</v>
      </c>
      <c r="D11" s="23" t="str">
        <f>VLOOKUP(Draft[[#This Row],[Offical ID]],Table5[[Offical Id]:[Year]],3,FALSE)</f>
        <v>Jr.</v>
      </c>
      <c r="E11" s="23" t="e">
        <v>#N/A</v>
      </c>
      <c r="F11" s="63">
        <v>262.8</v>
      </c>
      <c r="G11" s="9">
        <v>435</v>
      </c>
      <c r="H11" s="9">
        <v>340</v>
      </c>
      <c r="I11" s="9">
        <v>275</v>
      </c>
      <c r="J11" s="9" t="e">
        <f>_xlfn.MAXIFS([1]Max_Speed_Accel_Decel!$J$2:$J$287,[1]Max_Speed_Accel_Decel!$C$2:$C$287,Draft[[#This Row],[Offical ID]])</f>
        <v>#VALUE!</v>
      </c>
      <c r="K11" s="9"/>
      <c r="L11" s="9"/>
    </row>
    <row r="12" spans="1:12" hidden="1" x14ac:dyDescent="0.2">
      <c r="A12" s="48" t="s">
        <v>3</v>
      </c>
      <c r="B12" s="21" t="s">
        <v>650</v>
      </c>
      <c r="C12" s="23" t="str">
        <f>CONCATENATE(VLOOKUP(Draft[[#This Row],[Offical ID]],Master_Roster[[Offical ID]:[Last Name]],4,FALSE)," ",VLOOKUP(Draft[[#This Row],[Offical ID]],Master_Roster[[Offical ID]:[Last Name]],3,FALSE))</f>
        <v>Boeddeker Hunter</v>
      </c>
      <c r="D12" s="23" t="str">
        <f>VLOOKUP(Draft[[#This Row],[Offical ID]],Table5[[Offical Id]:[Year]],3,FALSE)</f>
        <v>Jr.</v>
      </c>
      <c r="E12" s="23" t="e">
        <v>#N/A</v>
      </c>
      <c r="F12" s="63">
        <v>219.6</v>
      </c>
      <c r="G12" s="9">
        <v>420</v>
      </c>
      <c r="H12" s="9">
        <v>330</v>
      </c>
      <c r="I12" s="9">
        <v>275</v>
      </c>
      <c r="J12" s="9" t="e">
        <f>_xlfn.MAXIFS([1]Max_Speed_Accel_Decel!$J$2:$J$287,[1]Max_Speed_Accel_Decel!$C$2:$C$287,Draft[[#This Row],[Offical ID]])</f>
        <v>#VALUE!</v>
      </c>
      <c r="K12" s="9"/>
      <c r="L12" s="9"/>
    </row>
    <row r="13" spans="1:12" hidden="1" x14ac:dyDescent="0.2">
      <c r="A13" s="48" t="s">
        <v>71</v>
      </c>
      <c r="B13" s="21" t="s">
        <v>621</v>
      </c>
      <c r="C13" s="23" t="str">
        <f>CONCATENATE(VLOOKUP(Draft[[#This Row],[Offical ID]],Master_Roster[[Offical ID]:[Last Name]],4,FALSE)," ",VLOOKUP(Draft[[#This Row],[Offical ID]],Master_Roster[[Offical ID]:[Last Name]],3,FALSE))</f>
        <v>Borders Curron</v>
      </c>
      <c r="D13" s="23" t="str">
        <f>VLOOKUP(Draft[[#This Row],[Offical ID]],Table5[[Offical Id]:[Year]],3,FALSE)</f>
        <v>So.</v>
      </c>
      <c r="E13" s="23" t="e">
        <v>#N/A</v>
      </c>
      <c r="F13" s="63">
        <v>199.2</v>
      </c>
      <c r="G13" s="9" t="s">
        <v>923</v>
      </c>
      <c r="H13" s="9">
        <v>335</v>
      </c>
      <c r="I13" s="9">
        <v>315</v>
      </c>
      <c r="J13" s="9" t="e">
        <f>_xlfn.MAXIFS([1]Max_Speed_Accel_Decel!$J$2:$J$287,[1]Max_Speed_Accel_Decel!$C$2:$C$287,Draft[[#This Row],[Offical ID]])</f>
        <v>#VALUE!</v>
      </c>
      <c r="K13" s="9"/>
      <c r="L13" s="9"/>
    </row>
    <row r="14" spans="1:12" hidden="1" x14ac:dyDescent="0.2">
      <c r="A14" s="48" t="s">
        <v>283</v>
      </c>
      <c r="B14" s="21" t="s">
        <v>639</v>
      </c>
      <c r="C14" s="23" t="str">
        <f>CONCATENATE(VLOOKUP(Draft[[#This Row],[Offical ID]],Master_Roster[[Offical ID]:[Last Name]],4,FALSE)," ",VLOOKUP(Draft[[#This Row],[Offical ID]],Master_Roster[[Offical ID]:[Last Name]],3,FALSE))</f>
        <v>Brown Elias</v>
      </c>
      <c r="D14" s="23" t="str">
        <f>VLOOKUP(Draft[[#This Row],[Offical ID]],Table5[[Offical Id]:[Year]],3,FALSE)</f>
        <v>Jr.</v>
      </c>
      <c r="E14" s="23" t="e">
        <v>#N/A</v>
      </c>
      <c r="F14" s="63">
        <v>231.2</v>
      </c>
      <c r="G14" s="9">
        <v>465</v>
      </c>
      <c r="H14" s="9">
        <v>355</v>
      </c>
      <c r="I14" s="9" t="s">
        <v>923</v>
      </c>
      <c r="J14" s="9" t="e">
        <f>_xlfn.MAXIFS([1]Max_Speed_Accel_Decel!$J$2:$J$287,[1]Max_Speed_Accel_Decel!$C$2:$C$287,Draft[[#This Row],[Offical ID]])</f>
        <v>#VALUE!</v>
      </c>
      <c r="K14" s="9"/>
      <c r="L14" s="9"/>
    </row>
    <row r="15" spans="1:12" hidden="1" x14ac:dyDescent="0.2">
      <c r="A15" s="48" t="s">
        <v>46</v>
      </c>
      <c r="B15" s="21" t="s">
        <v>628</v>
      </c>
      <c r="C15" s="23" t="str">
        <f>CONCATENATE(VLOOKUP(Draft[[#This Row],[Offical ID]],Master_Roster[[Offical ID]:[Last Name]],4,FALSE)," ",VLOOKUP(Draft[[#This Row],[Offical ID]],Master_Roster[[Offical ID]:[Last Name]],3,FALSE))</f>
        <v>Bryant Ajon</v>
      </c>
      <c r="D15" s="23" t="str">
        <f>VLOOKUP(Draft[[#This Row],[Offical ID]],Table5[[Offical Id]:[Year]],3,FALSE)</f>
        <v>R-Fr.</v>
      </c>
      <c r="E15" s="23">
        <v>5060</v>
      </c>
      <c r="F15" s="63">
        <v>162</v>
      </c>
      <c r="G15" s="9">
        <v>380</v>
      </c>
      <c r="H15" s="9">
        <v>265</v>
      </c>
      <c r="I15" s="9">
        <v>235</v>
      </c>
      <c r="J15" s="9" t="e">
        <f>_xlfn.MAXIFS([1]Max_Speed_Accel_Decel!$J$2:$J$287,[1]Max_Speed_Accel_Decel!$C$2:$C$287,Draft[[#This Row],[Offical ID]])</f>
        <v>#VALUE!</v>
      </c>
      <c r="K15" s="9"/>
      <c r="L15" s="9"/>
    </row>
    <row r="16" spans="1:12" hidden="1" x14ac:dyDescent="0.2">
      <c r="A16" s="68" t="s">
        <v>287</v>
      </c>
      <c r="B16" s="25" t="s">
        <v>647</v>
      </c>
      <c r="C16" s="23" t="str">
        <f>CONCATENATE(VLOOKUP(Draft[[#This Row],[Offical ID]],Master_Roster[[Offical ID]:[Last Name]],4,FALSE)," ",VLOOKUP(Draft[[#This Row],[Offical ID]],Master_Roster[[Offical ID]:[Last Name]],3,FALSE))</f>
        <v>Cahoon Jackson</v>
      </c>
      <c r="D16" s="23" t="str">
        <f>VLOOKUP(Draft[[#This Row],[Offical ID]],Table5[[Offical Id]:[Year]],3,FALSE)</f>
        <v>Fr.</v>
      </c>
      <c r="E16" s="23">
        <v>5061</v>
      </c>
      <c r="F16" s="63">
        <v>205.3</v>
      </c>
      <c r="G16" s="9">
        <v>350</v>
      </c>
      <c r="H16" s="9">
        <v>310</v>
      </c>
      <c r="I16" s="9">
        <v>250</v>
      </c>
      <c r="J16" s="9" t="e">
        <f>_xlfn.MAXIFS([1]Max_Speed_Accel_Decel!$J$2:$J$287,[1]Max_Speed_Accel_Decel!$C$2:$C$287,Draft[[#This Row],[Offical ID]])</f>
        <v>#VALUE!</v>
      </c>
      <c r="K16" s="9"/>
      <c r="L16" s="9"/>
    </row>
    <row r="17" spans="1:12" ht="16.5" x14ac:dyDescent="0.2">
      <c r="A17" s="48" t="s">
        <v>281</v>
      </c>
      <c r="B17" s="54" t="s">
        <v>636</v>
      </c>
      <c r="C17" s="21" t="str">
        <f>CONCATENATE(VLOOKUP(Draft[[#This Row],[Offical ID]],Master_Roster[[Offical ID]:[Last Name]],4,FALSE)," ",VLOOKUP(Draft[[#This Row],[Offical ID]],Master_Roster[[Offical ID]:[Last Name]],3,FALSE))</f>
        <v>Butler Dejuan</v>
      </c>
      <c r="D17" s="21" t="str">
        <f>VLOOKUP(Draft[[#This Row],[Offical ID]],Table5[[Offical Id]:[Year]],3,FALSE)</f>
        <v>Gr.</v>
      </c>
      <c r="E17" s="21">
        <v>5114</v>
      </c>
      <c r="F17" s="73">
        <v>189.244</v>
      </c>
      <c r="G17" s="30">
        <v>490</v>
      </c>
      <c r="H17" s="30">
        <v>240</v>
      </c>
      <c r="I17" s="30">
        <v>275</v>
      </c>
      <c r="J17" s="74" t="e">
        <f>_xlfn.MAXIFS([1]Max_Speed_Accel_Decel!$J$2:$J$287,[1]Max_Speed_Accel_Decel!$C$2:$C$287,Draft[[#This Row],[Offical ID]])</f>
        <v>#VALUE!</v>
      </c>
      <c r="K17" s="103">
        <v>30</v>
      </c>
      <c r="L17" s="104" t="s">
        <v>929</v>
      </c>
    </row>
    <row r="18" spans="1:12" hidden="1" x14ac:dyDescent="0.2">
      <c r="A18" s="71" t="s">
        <v>282</v>
      </c>
      <c r="B18" s="24" t="s">
        <v>638</v>
      </c>
      <c r="C18" s="23" t="str">
        <f>CONCATENATE(VLOOKUP(Draft[[#This Row],[Offical ID]],Master_Roster[[Offical ID]:[Last Name]],4,FALSE)," ",VLOOKUP(Draft[[#This Row],[Offical ID]],Master_Roster[[Offical ID]:[Last Name]],3,FALSE))</f>
        <v>Smith Jaquail</v>
      </c>
      <c r="D18" s="23" t="str">
        <f>VLOOKUP(Draft[[#This Row],[Offical ID]],Table5[[Offical Id]:[Year]],3,FALSE)</f>
        <v>Fr.</v>
      </c>
      <c r="E18" s="23">
        <v>6000</v>
      </c>
      <c r="F18" s="63">
        <v>181.8</v>
      </c>
      <c r="G18" s="9">
        <v>290</v>
      </c>
      <c r="H18" s="9">
        <v>250</v>
      </c>
      <c r="I18" s="9">
        <v>185</v>
      </c>
      <c r="J18" s="9" t="e">
        <f>_xlfn.MAXIFS([1]Max_Speed_Accel_Decel!$J$2:$J$287,[1]Max_Speed_Accel_Decel!$C$2:$C$287,Draft[[#This Row],[Offical ID]])</f>
        <v>#VALUE!</v>
      </c>
      <c r="K18" s="9"/>
      <c r="L18" s="9"/>
    </row>
    <row r="19" spans="1:12" hidden="1" x14ac:dyDescent="0.2">
      <c r="A19" s="48" t="s">
        <v>280</v>
      </c>
      <c r="B19" s="21" t="s">
        <v>633</v>
      </c>
      <c r="C19" s="23" t="str">
        <f>CONCATENATE(VLOOKUP(Draft[[#This Row],[Offical ID]],Master_Roster[[Offical ID]:[Last Name]],4,FALSE)," ",VLOOKUP(Draft[[#This Row],[Offical ID]],Master_Roster[[Offical ID]:[Last Name]],3,FALSE))</f>
        <v>Tanner Logan</v>
      </c>
      <c r="D19" s="23" t="str">
        <f>VLOOKUP(Draft[[#This Row],[Offical ID]],Table5[[Offical Id]:[Year]],3,FALSE)</f>
        <v>So.</v>
      </c>
      <c r="E19" s="23">
        <v>6000</v>
      </c>
      <c r="F19" s="63">
        <v>230</v>
      </c>
      <c r="G19" s="9">
        <v>460</v>
      </c>
      <c r="H19" s="9">
        <v>410</v>
      </c>
      <c r="I19" s="9">
        <v>275</v>
      </c>
      <c r="J19" s="9" t="e">
        <f>_xlfn.MAXIFS([1]Max_Speed_Accel_Decel!$J$2:$J$287,[1]Max_Speed_Accel_Decel!$C$2:$C$287,Draft[[#This Row],[Offical ID]])</f>
        <v>#VALUE!</v>
      </c>
      <c r="K19" s="9"/>
      <c r="L19" s="9"/>
    </row>
    <row r="20" spans="1:12" hidden="1" x14ac:dyDescent="0.2">
      <c r="A20" s="48" t="s">
        <v>285</v>
      </c>
      <c r="B20" s="21" t="s">
        <v>643</v>
      </c>
      <c r="C20" s="23" t="str">
        <f>CONCATENATE(VLOOKUP(Draft[[#This Row],[Offical ID]],Master_Roster[[Offical ID]:[Last Name]],4,FALSE)," ",VLOOKUP(Draft[[#This Row],[Offical ID]],Master_Roster[[Offical ID]:[Last Name]],3,FALSE))</f>
        <v>Taylor Mike</v>
      </c>
      <c r="D20" s="23" t="str">
        <f>VLOOKUP(Draft[[#This Row],[Offical ID]],Table5[[Offical Id]:[Year]],3,FALSE)</f>
        <v>Fr.</v>
      </c>
      <c r="E20" s="23">
        <v>6000</v>
      </c>
      <c r="F20" s="63">
        <v>194.8</v>
      </c>
      <c r="G20" s="9">
        <v>335</v>
      </c>
      <c r="H20" s="9">
        <v>245</v>
      </c>
      <c r="I20" s="9">
        <v>250</v>
      </c>
      <c r="J20" s="9" t="e">
        <f>_xlfn.MAXIFS([1]Max_Speed_Accel_Decel!$J$2:$J$287,[1]Max_Speed_Accel_Decel!$C$2:$C$287,Draft[[#This Row],[Offical ID]])</f>
        <v>#VALUE!</v>
      </c>
      <c r="K20" s="9"/>
      <c r="L20" s="9"/>
    </row>
    <row r="21" spans="1:12" hidden="1" x14ac:dyDescent="0.2">
      <c r="A21" s="48" t="s">
        <v>24</v>
      </c>
      <c r="B21" s="21" t="s">
        <v>645</v>
      </c>
      <c r="C21" s="23" t="str">
        <f>CONCATENATE(VLOOKUP(Draft[[#This Row],[Offical ID]],Master_Roster[[Offical ID]:[Last Name]],4,FALSE)," ",VLOOKUP(Draft[[#This Row],[Offical ID]],Master_Roster[[Offical ID]:[Last Name]],3,FALSE))</f>
        <v>Akui Koa</v>
      </c>
      <c r="D21" s="23" t="str">
        <f>VLOOKUP(Draft[[#This Row],[Offical ID]],Table5[[Offical Id]:[Year]],3,FALSE)</f>
        <v>Jr.</v>
      </c>
      <c r="E21" s="23" t="e">
        <v>#N/A</v>
      </c>
      <c r="F21" s="63">
        <v>188</v>
      </c>
      <c r="G21" s="9">
        <v>460</v>
      </c>
      <c r="H21" s="9">
        <v>285</v>
      </c>
      <c r="I21" s="9">
        <v>280</v>
      </c>
      <c r="J21" s="9" t="e">
        <f>_xlfn.MAXIFS([1]Max_Speed_Accel_Decel!$J$2:$J$287,[1]Max_Speed_Accel_Decel!$C$2:$C$287,Draft[[#This Row],[Offical ID]])</f>
        <v>#VALUE!</v>
      </c>
      <c r="K21" s="9"/>
      <c r="L21" s="9"/>
    </row>
    <row r="22" spans="1:12" hidden="1" x14ac:dyDescent="0.2">
      <c r="A22" s="48" t="s">
        <v>14</v>
      </c>
      <c r="B22" s="21" t="s">
        <v>635</v>
      </c>
      <c r="C22" s="23" t="str">
        <f>CONCATENATE(VLOOKUP(Draft[[#This Row],[Offical ID]],Master_Roster[[Offical ID]:[Last Name]],4,FALSE)," ",VLOOKUP(Draft[[#This Row],[Offical ID]],Master_Roster[[Offical ID]:[Last Name]],3,FALSE))</f>
        <v>Anderson Hayden</v>
      </c>
      <c r="D22" s="23" t="str">
        <f>VLOOKUP(Draft[[#This Row],[Offical ID]],Table5[[Offical Id]:[Year]],3,FALSE)</f>
        <v>Fr.</v>
      </c>
      <c r="E22" s="23" t="e">
        <v>#N/A</v>
      </c>
      <c r="F22" s="63">
        <v>204.2</v>
      </c>
      <c r="G22" s="9">
        <v>345</v>
      </c>
      <c r="H22" s="9">
        <v>250</v>
      </c>
      <c r="I22" s="9">
        <v>195</v>
      </c>
      <c r="J22" s="9" t="e">
        <f>_xlfn.MAXIFS([1]Max_Speed_Accel_Decel!$J$2:$J$287,[1]Max_Speed_Accel_Decel!$C$2:$C$287,Draft[[#This Row],[Offical ID]])</f>
        <v>#VALUE!</v>
      </c>
      <c r="K22" s="9"/>
      <c r="L22" s="9"/>
    </row>
    <row r="23" spans="1:12" hidden="1" x14ac:dyDescent="0.2">
      <c r="A23" s="48" t="s">
        <v>7</v>
      </c>
      <c r="B23" s="21" t="s">
        <v>599</v>
      </c>
      <c r="C23" s="23" t="str">
        <f>CONCATENATE(VLOOKUP(Draft[[#This Row],[Offical ID]],Master_Roster[[Offical ID]:[Last Name]],4,FALSE)," ",VLOOKUP(Draft[[#This Row],[Offical ID]],Master_Roster[[Offical ID]:[Last Name]],3,FALSE))</f>
        <v>Anderson Jordan</v>
      </c>
      <c r="D23" s="23" t="str">
        <f>VLOOKUP(Draft[[#This Row],[Offical ID]],Table5[[Offical Id]:[Year]],3,FALSE)</f>
        <v>R-Fr.</v>
      </c>
      <c r="E23" s="23" t="e">
        <v>#N/A</v>
      </c>
      <c r="F23" s="63">
        <v>173.6</v>
      </c>
      <c r="G23" s="9">
        <v>310</v>
      </c>
      <c r="H23" s="9">
        <v>200</v>
      </c>
      <c r="I23" s="9" t="s">
        <v>923</v>
      </c>
      <c r="J23" s="9" t="e">
        <f>_xlfn.MAXIFS([1]Max_Speed_Accel_Decel!$J$2:$J$287,[1]Max_Speed_Accel_Decel!$C$2:$C$287,Draft[[#This Row],[Offical ID]])</f>
        <v>#VALUE!</v>
      </c>
      <c r="K23" s="9"/>
      <c r="L23" s="9"/>
    </row>
    <row r="24" spans="1:12" hidden="1" x14ac:dyDescent="0.2">
      <c r="A24" s="68" t="s">
        <v>13</v>
      </c>
      <c r="B24" s="25" t="s">
        <v>685</v>
      </c>
      <c r="C24" s="23" t="str">
        <f>CONCATENATE(VLOOKUP(Draft[[#This Row],[Offical ID]],Master_Roster[[Offical ID]:[Last Name]],4,FALSE)," ",VLOOKUP(Draft[[#This Row],[Offical ID]],Master_Roster[[Offical ID]:[Last Name]],3,FALSE))</f>
        <v>Bass Trey</v>
      </c>
      <c r="D24" s="23" t="str">
        <f>VLOOKUP(Draft[[#This Row],[Offical ID]],Table5[[Offical Id]:[Year]],3,FALSE)</f>
        <v>Fr.</v>
      </c>
      <c r="E24" s="23" t="e">
        <v>#N/A</v>
      </c>
      <c r="F24" s="63">
        <v>190.2</v>
      </c>
      <c r="G24" s="9">
        <v>315</v>
      </c>
      <c r="H24" s="9">
        <v>300</v>
      </c>
      <c r="I24" s="9">
        <v>225</v>
      </c>
      <c r="J24" s="9" t="e">
        <f>_xlfn.MAXIFS([1]Max_Speed_Accel_Decel!$J$2:$J$287,[1]Max_Speed_Accel_Decel!$C$2:$C$287,Draft[[#This Row],[Offical ID]])</f>
        <v>#VALUE!</v>
      </c>
      <c r="K24" s="9"/>
      <c r="L24" s="9"/>
    </row>
    <row r="25" spans="1:12" ht="16.5" x14ac:dyDescent="0.2">
      <c r="A25" s="48" t="s">
        <v>23</v>
      </c>
      <c r="B25" s="54" t="s">
        <v>608</v>
      </c>
      <c r="C25" s="21" t="str">
        <f>CONCATENATE(VLOOKUP(Draft[[#This Row],[Offical ID]],Master_Roster[[Offical ID]:[Last Name]],4,FALSE)," ",VLOOKUP(Draft[[#This Row],[Offical ID]],Master_Roster[[Offical ID]:[Last Name]],3,FALSE))</f>
        <v>Williams Jalen</v>
      </c>
      <c r="D25" s="21" t="str">
        <f>VLOOKUP(Draft[[#This Row],[Offical ID]],Table5[[Offical Id]:[Year]],3,FALSE)</f>
        <v>Sr.</v>
      </c>
      <c r="E25" s="21">
        <v>5110</v>
      </c>
      <c r="F25" s="73">
        <v>191.2</v>
      </c>
      <c r="G25" s="30">
        <v>435</v>
      </c>
      <c r="H25" s="30">
        <v>265</v>
      </c>
      <c r="I25" s="30">
        <v>225</v>
      </c>
      <c r="J25" s="74" t="e">
        <f>_xlfn.MAXIFS([1]Max_Speed_Accel_Decel!$J$2:$J$287,[1]Max_Speed_Accel_Decel!$C$2:$C$287,Draft[[#This Row],[Offical ID]])</f>
        <v>#VALUE!</v>
      </c>
      <c r="K25" s="103">
        <v>33.5</v>
      </c>
      <c r="L25" s="103" t="s">
        <v>930</v>
      </c>
    </row>
    <row r="26" spans="1:12" hidden="1" x14ac:dyDescent="0.2">
      <c r="A26" s="71" t="s">
        <v>276</v>
      </c>
      <c r="B26" s="24" t="s">
        <v>619</v>
      </c>
      <c r="C26" s="23" t="str">
        <f>CONCATENATE(VLOOKUP(Draft[[#This Row],[Offical ID]],Master_Roster[[Offical ID]:[Last Name]],4,FALSE)," ",VLOOKUP(Draft[[#This Row],[Offical ID]],Master_Roster[[Offical ID]:[Last Name]],3,FALSE))</f>
        <v>Campbell Ernest</v>
      </c>
      <c r="D26" s="23" t="str">
        <f>VLOOKUP(Draft[[#This Row],[Offical ID]],Table5[[Offical Id]:[Year]],3,FALSE)</f>
        <v>R-Fr.</v>
      </c>
      <c r="E26" s="23">
        <v>5061</v>
      </c>
      <c r="F26" s="63">
        <v>140.6</v>
      </c>
      <c r="G26" s="9">
        <v>250</v>
      </c>
      <c r="H26" s="9">
        <v>195</v>
      </c>
      <c r="I26" s="9">
        <v>205</v>
      </c>
      <c r="J26" s="9" t="e">
        <f>_xlfn.MAXIFS([1]Max_Speed_Accel_Decel!$J$2:$J$287,[1]Max_Speed_Accel_Decel!$C$2:$C$287,Draft[[#This Row],[Offical ID]])</f>
        <v>#VALUE!</v>
      </c>
      <c r="K26" s="9"/>
      <c r="L26" s="9"/>
    </row>
    <row r="27" spans="1:12" hidden="1" x14ac:dyDescent="0.2">
      <c r="A27" s="68" t="s">
        <v>11</v>
      </c>
      <c r="B27" s="25" t="s">
        <v>641</v>
      </c>
      <c r="C27" s="23" t="str">
        <f>CONCATENATE(VLOOKUP(Draft[[#This Row],[Offical ID]],Master_Roster[[Offical ID]:[Last Name]],4,FALSE)," ",VLOOKUP(Draft[[#This Row],[Offical ID]],Master_Roster[[Offical ID]:[Last Name]],3,FALSE))</f>
        <v>Chouteau Lono</v>
      </c>
      <c r="D27" s="23" t="str">
        <f>VLOOKUP(Draft[[#This Row],[Offical ID]],Table5[[Offical Id]:[Year]],3,FALSE)</f>
        <v>Fr.</v>
      </c>
      <c r="E27" s="23">
        <v>5061</v>
      </c>
      <c r="F27" s="63">
        <v>178.8</v>
      </c>
      <c r="G27" s="9">
        <v>355</v>
      </c>
      <c r="H27" s="9">
        <v>145</v>
      </c>
      <c r="I27" s="9">
        <v>195</v>
      </c>
      <c r="J27" s="9" t="e">
        <f>_xlfn.MAXIFS([1]Max_Speed_Accel_Decel!$J$2:$J$287,[1]Max_Speed_Accel_Decel!$C$2:$C$287,Draft[[#This Row],[Offical ID]])</f>
        <v>#VALUE!</v>
      </c>
      <c r="K27" s="9"/>
      <c r="L27" s="9"/>
    </row>
    <row r="28" spans="1:12" ht="16.5" x14ac:dyDescent="0.2">
      <c r="A28" s="48" t="s">
        <v>41</v>
      </c>
      <c r="B28" s="54" t="s">
        <v>596</v>
      </c>
      <c r="C28" s="21" t="str">
        <f>CONCATENATE(VLOOKUP(Draft[[#This Row],[Offical ID]],Master_Roster[[Offical ID]:[Last Name]],4,FALSE)," ",VLOOKUP(Draft[[#This Row],[Offical ID]],Master_Roster[[Offical ID]:[Last Name]],3,FALSE))</f>
        <v>Curtis Jamar</v>
      </c>
      <c r="D28" s="21" t="str">
        <f>VLOOKUP(Draft[[#This Row],[Offical ID]],Table5[[Offical Id]:[Year]],3,FALSE)</f>
        <v>Sr.</v>
      </c>
      <c r="E28" s="21">
        <v>5050</v>
      </c>
      <c r="F28" s="73">
        <v>170.8</v>
      </c>
      <c r="G28" s="30">
        <v>470</v>
      </c>
      <c r="H28" s="30">
        <v>325</v>
      </c>
      <c r="I28" s="30">
        <v>265</v>
      </c>
      <c r="J28" s="74" t="e">
        <f>_xlfn.MAXIFS([1]Max_Speed_Accel_Decel!$J$2:$J$287,[1]Max_Speed_Accel_Decel!$C$2:$C$287,Draft[[#This Row],[Offical ID]])</f>
        <v>#VALUE!</v>
      </c>
      <c r="K28" s="103">
        <v>37</v>
      </c>
      <c r="L28" s="103" t="s">
        <v>931</v>
      </c>
    </row>
    <row r="29" spans="1:12" hidden="1" x14ac:dyDescent="0.2">
      <c r="A29" s="71" t="s">
        <v>27</v>
      </c>
      <c r="B29" s="24" t="s">
        <v>620</v>
      </c>
      <c r="C29" s="23" t="str">
        <f>CONCATENATE(VLOOKUP(Draft[[#This Row],[Offical ID]],Master_Roster[[Offical ID]:[Last Name]],4,FALSE)," ",VLOOKUP(Draft[[#This Row],[Offical ID]],Master_Roster[[Offical ID]:[Last Name]],3,FALSE))</f>
        <v>Emerson Yebrell</v>
      </c>
      <c r="D29" s="23" t="str">
        <f>VLOOKUP(Draft[[#This Row],[Offical ID]],Table5[[Offical Id]:[Year]],3,FALSE)</f>
        <v>Jr.</v>
      </c>
      <c r="E29" s="23">
        <v>5061</v>
      </c>
      <c r="F29" s="63">
        <v>196.2</v>
      </c>
      <c r="G29" s="9">
        <v>505</v>
      </c>
      <c r="H29" s="9">
        <v>335</v>
      </c>
      <c r="I29" s="9">
        <v>260</v>
      </c>
      <c r="J29" s="9" t="e">
        <f>_xlfn.MAXIFS([1]Max_Speed_Accel_Decel!$J$2:$J$287,[1]Max_Speed_Accel_Decel!$C$2:$C$287,Draft[[#This Row],[Offical ID]])</f>
        <v>#VALUE!</v>
      </c>
      <c r="K29" s="9"/>
      <c r="L29" s="9"/>
    </row>
    <row r="30" spans="1:12" hidden="1" x14ac:dyDescent="0.2">
      <c r="A30" s="48" t="s">
        <v>61</v>
      </c>
      <c r="B30" s="21" t="s">
        <v>696</v>
      </c>
      <c r="C30" s="23" t="str">
        <f>CONCATENATE(VLOOKUP(Draft[[#This Row],[Offical ID]],Master_Roster[[Offical ID]:[Last Name]],4,FALSE)," ",VLOOKUP(Draft[[#This Row],[Offical ID]],Master_Roster[[Offical ID]:[Last Name]],3,FALSE))</f>
        <v>Jefferson Jordan</v>
      </c>
      <c r="D30" s="23" t="str">
        <f>VLOOKUP(Draft[[#This Row],[Offical ID]],Table5[[Offical Id]:[Year]],3,FALSE)</f>
        <v>Sr.</v>
      </c>
      <c r="E30" s="23">
        <v>5061</v>
      </c>
      <c r="F30" s="63">
        <v>301.8</v>
      </c>
      <c r="G30" s="9">
        <v>325</v>
      </c>
      <c r="H30" s="9">
        <v>370</v>
      </c>
      <c r="I30" s="9">
        <v>265</v>
      </c>
      <c r="J30" s="9" t="e">
        <f>_xlfn.MAXIFS([1]Max_Speed_Accel_Decel!$J$2:$J$287,[1]Max_Speed_Accel_Decel!$C$2:$C$287,Draft[[#This Row],[Offical ID]])</f>
        <v>#VALUE!</v>
      </c>
      <c r="K30" s="9"/>
      <c r="L30" s="9"/>
    </row>
    <row r="31" spans="1:12" hidden="1" x14ac:dyDescent="0.2">
      <c r="A31" s="48" t="s">
        <v>304</v>
      </c>
      <c r="B31" s="21" t="s">
        <v>697</v>
      </c>
      <c r="C31" s="23" t="str">
        <f>CONCATENATE(VLOOKUP(Draft[[#This Row],[Offical ID]],Master_Roster[[Offical ID]:[Last Name]],4,FALSE)," ",VLOOKUP(Draft[[#This Row],[Offical ID]],Master_Roster[[Offical ID]:[Last Name]],3,FALSE))</f>
        <v>Kindle Malachi</v>
      </c>
      <c r="D31" s="23" t="str">
        <f>VLOOKUP(Draft[[#This Row],[Offical ID]],Table5[[Offical Id]:[Year]],3,FALSE)</f>
        <v>Fr.</v>
      </c>
      <c r="E31" s="23">
        <v>5060</v>
      </c>
      <c r="F31" s="63">
        <v>331.8</v>
      </c>
      <c r="G31" s="9">
        <v>450</v>
      </c>
      <c r="H31" s="9">
        <v>350</v>
      </c>
      <c r="I31" s="9">
        <v>250</v>
      </c>
      <c r="J31" s="9" t="e">
        <f>_xlfn.MAXIFS([1]Max_Speed_Accel_Decel!$J$2:$J$287,[1]Max_Speed_Accel_Decel!$C$2:$C$287,Draft[[#This Row],[Offical ID]])</f>
        <v>#VALUE!</v>
      </c>
      <c r="K31" s="9"/>
      <c r="L31" s="9"/>
    </row>
    <row r="32" spans="1:12" hidden="1" x14ac:dyDescent="0.2">
      <c r="A32" s="48" t="s">
        <v>50</v>
      </c>
      <c r="B32" s="21" t="s">
        <v>673</v>
      </c>
      <c r="C32" s="23" t="str">
        <f>CONCATENATE(VLOOKUP(Draft[[#This Row],[Offical ID]],Master_Roster[[Offical ID]:[Last Name]],4,FALSE)," ",VLOOKUP(Draft[[#This Row],[Offical ID]],Master_Roster[[Offical ID]:[Last Name]],3,FALSE))</f>
        <v>Kovacs Giovanni</v>
      </c>
      <c r="D32" s="23" t="str">
        <f>VLOOKUP(Draft[[#This Row],[Offical ID]],Table5[[Offical Id]:[Year]],3,FALSE)</f>
        <v>R-Fr.</v>
      </c>
      <c r="E32" s="23">
        <v>6036</v>
      </c>
      <c r="F32" s="63">
        <v>304</v>
      </c>
      <c r="G32" s="9">
        <v>505</v>
      </c>
      <c r="H32" s="9">
        <v>320</v>
      </c>
      <c r="I32" s="9">
        <v>265</v>
      </c>
      <c r="J32" s="9" t="e">
        <f>_xlfn.MAXIFS([1]Max_Speed_Accel_Decel!$J$2:$J$287,[1]Max_Speed_Accel_Decel!$C$2:$C$287,Draft[[#This Row],[Offical ID]])</f>
        <v>#VALUE!</v>
      </c>
      <c r="K32" s="9"/>
      <c r="L32" s="9"/>
    </row>
    <row r="33" spans="1:12" hidden="1" x14ac:dyDescent="0.2">
      <c r="A33" s="48" t="s">
        <v>293</v>
      </c>
      <c r="B33" s="21" t="s">
        <v>669</v>
      </c>
      <c r="C33" s="23" t="str">
        <f>CONCATENATE(VLOOKUP(Draft[[#This Row],[Offical ID]],Master_Roster[[Offical ID]:[Last Name]],4,FALSE)," ",VLOOKUP(Draft[[#This Row],[Offical ID]],Master_Roster[[Offical ID]:[Last Name]],3,FALSE))</f>
        <v>Lee Graysen</v>
      </c>
      <c r="D33" s="23" t="str">
        <f>VLOOKUP(Draft[[#This Row],[Offical ID]],Table5[[Offical Id]:[Year]],3,FALSE)</f>
        <v>Fr.</v>
      </c>
      <c r="E33" s="23">
        <v>6036</v>
      </c>
      <c r="F33" s="63">
        <v>290.2</v>
      </c>
      <c r="G33" s="9" t="s">
        <v>923</v>
      </c>
      <c r="H33" s="9" t="s">
        <v>923</v>
      </c>
      <c r="I33" s="9" t="s">
        <v>923</v>
      </c>
      <c r="J33" s="9" t="e">
        <f>_xlfn.MAXIFS([1]Max_Speed_Accel_Decel!$J$2:$J$287,[1]Max_Speed_Accel_Decel!$C$2:$C$287,Draft[[#This Row],[Offical ID]])</f>
        <v>#VALUE!</v>
      </c>
      <c r="K33" s="9"/>
      <c r="L33" s="9"/>
    </row>
    <row r="34" spans="1:12" hidden="1" x14ac:dyDescent="0.2">
      <c r="A34" s="48" t="s">
        <v>302</v>
      </c>
      <c r="B34" s="21" t="s">
        <v>693</v>
      </c>
      <c r="C34" s="23" t="str">
        <f>CONCATENATE(VLOOKUP(Draft[[#This Row],[Offical ID]],Master_Roster[[Offical ID]:[Last Name]],4,FALSE)," ",VLOOKUP(Draft[[#This Row],[Offical ID]],Master_Roster[[Offical ID]:[Last Name]],3,FALSE))</f>
        <v>Massey Syncere</v>
      </c>
      <c r="D34" s="23" t="str">
        <f>VLOOKUP(Draft[[#This Row],[Offical ID]],Table5[[Offical Id]:[Year]],3,FALSE)</f>
        <v>Jr.</v>
      </c>
      <c r="E34" s="23">
        <v>6036</v>
      </c>
      <c r="F34" s="63">
        <v>348.65600000000001</v>
      </c>
      <c r="G34" s="9" t="s">
        <v>923</v>
      </c>
      <c r="H34" s="9">
        <v>325</v>
      </c>
      <c r="I34" s="9" t="s">
        <v>923</v>
      </c>
      <c r="J34" s="9" t="e">
        <f>_xlfn.MAXIFS([1]Max_Speed_Accel_Decel!$J$2:$J$287,[1]Max_Speed_Accel_Decel!$C$2:$C$287,Draft[[#This Row],[Offical ID]])</f>
        <v>#VALUE!</v>
      </c>
      <c r="K34" s="9"/>
      <c r="L34" s="9"/>
    </row>
    <row r="35" spans="1:12" hidden="1" x14ac:dyDescent="0.2">
      <c r="A35" s="48" t="s">
        <v>57</v>
      </c>
      <c r="B35" s="21" t="s">
        <v>675</v>
      </c>
      <c r="C35" s="23" t="str">
        <f>CONCATENATE(VLOOKUP(Draft[[#This Row],[Offical ID]],Master_Roster[[Offical ID]:[Last Name]],4,FALSE)," ",VLOOKUP(Draft[[#This Row],[Offical ID]],Master_Roster[[Offical ID]:[Last Name]],3,FALSE))</f>
        <v>May Davis</v>
      </c>
      <c r="D35" s="23" t="str">
        <f>VLOOKUP(Draft[[#This Row],[Offical ID]],Table5[[Offical Id]:[Year]],3,FALSE)</f>
        <v>So.</v>
      </c>
      <c r="E35" s="23">
        <v>6050</v>
      </c>
      <c r="F35" s="63">
        <v>326.2</v>
      </c>
      <c r="G35" s="9">
        <v>485</v>
      </c>
      <c r="H35" s="9">
        <v>385</v>
      </c>
      <c r="I35" s="9">
        <v>305</v>
      </c>
      <c r="J35" s="9" t="e">
        <f>_xlfn.MAXIFS([1]Max_Speed_Accel_Decel!$J$2:$J$287,[1]Max_Speed_Accel_Decel!$C$2:$C$287,Draft[[#This Row],[Offical ID]])</f>
        <v>#VALUE!</v>
      </c>
      <c r="K35" s="9"/>
      <c r="L35" s="9"/>
    </row>
    <row r="36" spans="1:12" hidden="1" x14ac:dyDescent="0.2">
      <c r="A36" s="68" t="s">
        <v>65</v>
      </c>
      <c r="B36" s="25" t="s">
        <v>666</v>
      </c>
      <c r="C36" s="23" t="str">
        <f>CONCATENATE(VLOOKUP(Draft[[#This Row],[Offical ID]],Master_Roster[[Offical ID]:[Last Name]],4,FALSE)," ",VLOOKUP(Draft[[#This Row],[Offical ID]],Master_Roster[[Offical ID]:[Last Name]],3,FALSE))</f>
        <v>McGlothen Jayland</v>
      </c>
      <c r="D36" s="23" t="str">
        <f>VLOOKUP(Draft[[#This Row],[Offical ID]],Table5[[Offical Id]:[Year]],3,FALSE)</f>
        <v>So.</v>
      </c>
      <c r="E36" s="23">
        <v>6050</v>
      </c>
      <c r="F36" s="63">
        <v>278.39999999999998</v>
      </c>
      <c r="G36" s="9">
        <v>505</v>
      </c>
      <c r="H36" s="9">
        <v>395</v>
      </c>
      <c r="I36" s="9">
        <v>315</v>
      </c>
      <c r="J36" s="9" t="e">
        <f>_xlfn.MAXIFS([1]Max_Speed_Accel_Decel!$J$2:$J$287,[1]Max_Speed_Accel_Decel!$C$2:$C$287,Draft[[#This Row],[Offical ID]])</f>
        <v>#VALUE!</v>
      </c>
      <c r="K36" s="9"/>
      <c r="L36" s="9"/>
    </row>
    <row r="37" spans="1:12" ht="16.5" x14ac:dyDescent="0.2">
      <c r="A37" s="48" t="s">
        <v>303</v>
      </c>
      <c r="B37" s="54" t="s">
        <v>694</v>
      </c>
      <c r="C37" s="21" t="str">
        <f>CONCATENATE(VLOOKUP(Draft[[#This Row],[Offical ID]],Master_Roster[[Offical ID]:[Last Name]],4,FALSE)," ",VLOOKUP(Draft[[#This Row],[Offical ID]],Master_Roster[[Offical ID]:[Last Name]],3,FALSE))</f>
        <v>Gillespie James</v>
      </c>
      <c r="D37" s="21" t="str">
        <f>VLOOKUP(Draft[[#This Row],[Offical ID]],Table5[[Offical Id]:[Year]],3,FALSE)</f>
        <v>Sr.</v>
      </c>
      <c r="E37" s="21"/>
      <c r="F37" s="73">
        <v>310.2</v>
      </c>
      <c r="G37" s="30" t="s">
        <v>923</v>
      </c>
      <c r="H37" s="30">
        <v>325</v>
      </c>
      <c r="I37" s="30" t="s">
        <v>923</v>
      </c>
      <c r="J37" s="74" t="e">
        <f>_xlfn.MAXIFS([1]Max_Speed_Accel_Decel!$J$2:$J$287,[1]Max_Speed_Accel_Decel!$C$2:$C$287,Draft[[#This Row],[Offical ID]])</f>
        <v>#VALUE!</v>
      </c>
      <c r="K37" s="103">
        <v>19.5</v>
      </c>
      <c r="L37" s="103" t="s">
        <v>932</v>
      </c>
    </row>
    <row r="38" spans="1:12" hidden="1" x14ac:dyDescent="0.2">
      <c r="A38" s="71" t="s">
        <v>47</v>
      </c>
      <c r="B38" s="24" t="s">
        <v>656</v>
      </c>
      <c r="C38" s="23" t="str">
        <f>CONCATENATE(VLOOKUP(Draft[[#This Row],[Offical ID]],Master_Roster[[Offical ID]:[Last Name]],4,FALSE)," ",VLOOKUP(Draft[[#This Row],[Offical ID]],Master_Roster[[Offical ID]:[Last Name]],3,FALSE))</f>
        <v>Davis Diego</v>
      </c>
      <c r="D38" s="23" t="str">
        <f>VLOOKUP(Draft[[#This Row],[Offical ID]],Table5[[Offical Id]:[Year]],3,FALSE)</f>
        <v>Jr.</v>
      </c>
      <c r="E38" s="23">
        <v>5061</v>
      </c>
      <c r="F38" s="63">
        <v>232.6</v>
      </c>
      <c r="G38" s="9">
        <v>505</v>
      </c>
      <c r="H38" s="9">
        <v>370</v>
      </c>
      <c r="I38" s="9">
        <v>335</v>
      </c>
      <c r="J38" s="9" t="e">
        <f>_xlfn.MAXIFS([1]Max_Speed_Accel_Decel!$J$2:$J$287,[1]Max_Speed_Accel_Decel!$C$2:$C$287,Draft[[#This Row],[Offical ID]])</f>
        <v>#VALUE!</v>
      </c>
      <c r="K38" s="9"/>
      <c r="L38" s="9"/>
    </row>
    <row r="39" spans="1:12" hidden="1" x14ac:dyDescent="0.2">
      <c r="A39" s="48" t="s">
        <v>471</v>
      </c>
      <c r="B39" s="21" t="s">
        <v>581</v>
      </c>
      <c r="C39" s="23" t="str">
        <f>CONCATENATE(VLOOKUP(Draft[[#This Row],[Offical ID]],Master_Roster[[Offical ID]:[Last Name]],4,FALSE)," ",VLOOKUP(Draft[[#This Row],[Offical ID]],Master_Roster[[Offical ID]:[Last Name]],3,FALSE))</f>
        <v>Eskridge Matthew</v>
      </c>
      <c r="D39" s="23" t="str">
        <f>VLOOKUP(Draft[[#This Row],[Offical ID]],Table5[[Offical Id]:[Year]],3,FALSE)</f>
        <v>Jr.</v>
      </c>
      <c r="E39" s="23">
        <v>5061</v>
      </c>
      <c r="F39" s="63">
        <v>229</v>
      </c>
      <c r="G39" s="9">
        <v>510</v>
      </c>
      <c r="H39" s="9">
        <v>375</v>
      </c>
      <c r="I39" s="9">
        <v>305</v>
      </c>
      <c r="J39" s="9" t="e">
        <f>_xlfn.MAXIFS([1]Max_Speed_Accel_Decel!$J$2:$J$287,[1]Max_Speed_Accel_Decel!$C$2:$C$287,Draft[[#This Row],[Offical ID]])</f>
        <v>#VALUE!</v>
      </c>
      <c r="K39" s="9"/>
      <c r="L39" s="9"/>
    </row>
    <row r="40" spans="1:12" hidden="1" x14ac:dyDescent="0.2">
      <c r="A40" s="68" t="s">
        <v>289</v>
      </c>
      <c r="B40" s="25" t="s">
        <v>649</v>
      </c>
      <c r="C40" s="23" t="str">
        <f>CONCATENATE(VLOOKUP(Draft[[#This Row],[Offical ID]],Master_Roster[[Offical ID]:[Last Name]],4,FALSE)," ",VLOOKUP(Draft[[#This Row],[Offical ID]],Master_Roster[[Offical ID]:[Last Name]],3,FALSE))</f>
        <v>Gooden Dylan</v>
      </c>
      <c r="D40" s="23" t="str">
        <f>VLOOKUP(Draft[[#This Row],[Offical ID]],Table5[[Offical Id]:[Year]],3,FALSE)</f>
        <v>R-So.</v>
      </c>
      <c r="E40" s="23">
        <v>5061</v>
      </c>
      <c r="F40" s="63">
        <v>219.6</v>
      </c>
      <c r="G40" s="9">
        <v>395</v>
      </c>
      <c r="H40" s="9">
        <v>250</v>
      </c>
      <c r="I40" s="9">
        <v>260</v>
      </c>
      <c r="J40" s="9" t="e">
        <f>_xlfn.MAXIFS([1]Max_Speed_Accel_Decel!$J$2:$J$287,[1]Max_Speed_Accel_Decel!$C$2:$C$287,Draft[[#This Row],[Offical ID]])</f>
        <v>#VALUE!</v>
      </c>
      <c r="K40" s="9"/>
      <c r="L40" s="9"/>
    </row>
    <row r="41" spans="1:12" ht="16.5" x14ac:dyDescent="0.2">
      <c r="A41" s="48" t="s">
        <v>297</v>
      </c>
      <c r="B41" s="54" t="s">
        <v>684</v>
      </c>
      <c r="C41" s="21" t="str">
        <f>CONCATENATE(VLOOKUP(Draft[[#This Row],[Offical ID]],Master_Roster[[Offical ID]:[Last Name]],4,FALSE)," ",VLOOKUP(Draft[[#This Row],[Offical ID]],Master_Roster[[Offical ID]:[Last Name]],3,FALSE))</f>
        <v>Herman Jordan</v>
      </c>
      <c r="D41" s="21" t="str">
        <f>VLOOKUP(Draft[[#This Row],[Offical ID]],Table5[[Offical Id]:[Year]],3,FALSE)</f>
        <v>R-Jr.</v>
      </c>
      <c r="E41" s="21"/>
      <c r="F41" s="73">
        <v>338.4</v>
      </c>
      <c r="G41" s="30" t="s">
        <v>923</v>
      </c>
      <c r="H41" s="30">
        <v>280</v>
      </c>
      <c r="I41" s="30" t="s">
        <v>923</v>
      </c>
      <c r="J41" s="74" t="e">
        <f>_xlfn.MAXIFS([1]Max_Speed_Accel_Decel!$J$2:$J$287,[1]Max_Speed_Accel_Decel!$C$2:$C$287,Draft[[#This Row],[Offical ID]])</f>
        <v>#VALUE!</v>
      </c>
      <c r="K41" s="104"/>
      <c r="L41" s="104"/>
    </row>
    <row r="42" spans="1:12" hidden="1" x14ac:dyDescent="0.2">
      <c r="A42" s="71" t="s">
        <v>357</v>
      </c>
      <c r="B42" s="24" t="s">
        <v>870</v>
      </c>
      <c r="C42" s="23" t="str">
        <f>CONCATENATE(VLOOKUP(Draft[[#This Row],[Offical ID]],Master_Roster[[Offical ID]:[Last Name]],4,FALSE)," ",VLOOKUP(Draft[[#This Row],[Offical ID]],Master_Roster[[Offical ID]:[Last Name]],3,FALSE))</f>
        <v>Henderson Damian</v>
      </c>
      <c r="D42" s="23" t="str">
        <f>VLOOKUP(Draft[[#This Row],[Offical ID]],Table5[[Offical Id]:[Year]],3,FALSE)</f>
        <v>So.</v>
      </c>
      <c r="E42" s="23">
        <v>5061</v>
      </c>
      <c r="F42" s="63">
        <v>204.8</v>
      </c>
      <c r="G42" s="9">
        <v>355</v>
      </c>
      <c r="H42" s="9">
        <v>225</v>
      </c>
      <c r="I42" s="9">
        <v>205</v>
      </c>
      <c r="J42" s="9" t="e">
        <f>_xlfn.MAXIFS([1]Max_Speed_Accel_Decel!$J$2:$J$287,[1]Max_Speed_Accel_Decel!$C$2:$C$287,Draft[[#This Row],[Offical ID]])</f>
        <v>#VALUE!</v>
      </c>
      <c r="K42" s="9"/>
      <c r="L42" s="9"/>
    </row>
    <row r="43" spans="1:12" hidden="1" x14ac:dyDescent="0.2">
      <c r="A43" s="48" t="s">
        <v>68</v>
      </c>
      <c r="B43" s="21" t="s">
        <v>653</v>
      </c>
      <c r="C43" s="23" t="str">
        <f>CONCATENATE(VLOOKUP(Draft[[#This Row],[Offical ID]],Master_Roster[[Offical ID]:[Last Name]],4,FALSE)," ",VLOOKUP(Draft[[#This Row],[Offical ID]],Master_Roster[[Offical ID]:[Last Name]],3,FALSE))</f>
        <v>Houston Derek</v>
      </c>
      <c r="D43" s="23" t="str">
        <f>VLOOKUP(Draft[[#This Row],[Offical ID]],Table5[[Offical Id]:[Year]],3,FALSE)</f>
        <v>So.</v>
      </c>
      <c r="E43" s="23">
        <v>5061</v>
      </c>
      <c r="F43" s="63">
        <v>229.8</v>
      </c>
      <c r="G43" s="9">
        <v>510</v>
      </c>
      <c r="H43" s="9">
        <v>355</v>
      </c>
      <c r="I43" s="9">
        <v>325</v>
      </c>
      <c r="J43" s="9" t="e">
        <f>_xlfn.MAXIFS([1]Max_Speed_Accel_Decel!$J$2:$J$287,[1]Max_Speed_Accel_Decel!$C$2:$C$287,Draft[[#This Row],[Offical ID]])</f>
        <v>#VALUE!</v>
      </c>
      <c r="K43" s="9"/>
      <c r="L43" s="9"/>
    </row>
    <row r="44" spans="1:12" hidden="1" x14ac:dyDescent="0.2">
      <c r="A44" s="48" t="s">
        <v>298</v>
      </c>
      <c r="B44" s="21" t="s">
        <v>686</v>
      </c>
      <c r="C44" s="23" t="str">
        <f>CONCATENATE(VLOOKUP(Draft[[#This Row],[Offical ID]],Master_Roster[[Offical ID]:[Last Name]],4,FALSE)," ",VLOOKUP(Draft[[#This Row],[Offical ID]],Master_Roster[[Offical ID]:[Last Name]],3,FALSE))</f>
        <v>Fernandez Tre</v>
      </c>
      <c r="D44" s="23" t="str">
        <f>VLOOKUP(Draft[[#This Row],[Offical ID]],Table5[[Offical Id]:[Year]],3,FALSE)</f>
        <v>Fr.</v>
      </c>
      <c r="E44" s="23">
        <v>5061</v>
      </c>
      <c r="F44" s="63">
        <v>175.8</v>
      </c>
      <c r="G44" s="9">
        <v>320</v>
      </c>
      <c r="H44" s="9">
        <v>240</v>
      </c>
      <c r="I44" s="9">
        <v>225</v>
      </c>
      <c r="J44" s="9" t="e">
        <f>_xlfn.MAXIFS([1]Max_Speed_Accel_Decel!$J$2:$J$287,[1]Max_Speed_Accel_Decel!$C$2:$C$287,Draft[[#This Row],[Offical ID]])</f>
        <v>#VALUE!</v>
      </c>
      <c r="K44" s="9"/>
      <c r="L44" s="9"/>
    </row>
    <row r="45" spans="1:12" hidden="1" x14ac:dyDescent="0.2">
      <c r="A45" s="48" t="s">
        <v>19</v>
      </c>
      <c r="B45" s="21" t="s">
        <v>687</v>
      </c>
      <c r="C45" s="23" t="str">
        <f>CONCATENATE(VLOOKUP(Draft[[#This Row],[Offical ID]],Master_Roster[[Offical ID]:[Last Name]],4,FALSE)," ",VLOOKUP(Draft[[#This Row],[Offical ID]],Master_Roster[[Offical ID]:[Last Name]],3,FALSE))</f>
        <v>Fresques Jaxon</v>
      </c>
      <c r="D45" s="23" t="str">
        <f>VLOOKUP(Draft[[#This Row],[Offical ID]],Table5[[Offical Id]:[Year]],3,FALSE)</f>
        <v>Fr.</v>
      </c>
      <c r="E45" s="23">
        <v>5061</v>
      </c>
      <c r="F45" s="63">
        <v>168.8</v>
      </c>
      <c r="G45" s="9">
        <v>355</v>
      </c>
      <c r="H45" s="9">
        <v>275</v>
      </c>
      <c r="I45" s="9">
        <v>245</v>
      </c>
      <c r="J45" s="9" t="e">
        <f>_xlfn.MAXIFS([1]Max_Speed_Accel_Decel!$J$2:$J$287,[1]Max_Speed_Accel_Decel!$C$2:$C$287,Draft[[#This Row],[Offical ID]])</f>
        <v>#VALUE!</v>
      </c>
      <c r="K45" s="9"/>
      <c r="L45" s="9"/>
    </row>
    <row r="46" spans="1:12" hidden="1" x14ac:dyDescent="0.2">
      <c r="A46" s="48" t="s">
        <v>12</v>
      </c>
      <c r="B46" s="21" t="s">
        <v>622</v>
      </c>
      <c r="C46" s="23" t="str">
        <f>CONCATENATE(VLOOKUP(Draft[[#This Row],[Offical ID]],Master_Roster[[Offical ID]:[Last Name]],4,FALSE)," ",VLOOKUP(Draft[[#This Row],[Offical ID]],Master_Roster[[Offical ID]:[Last Name]],3,FALSE))</f>
        <v>Garner Drey</v>
      </c>
      <c r="D46" s="23" t="str">
        <f>VLOOKUP(Draft[[#This Row],[Offical ID]],Table5[[Offical Id]:[Year]],3,FALSE)</f>
        <v>Fr.</v>
      </c>
      <c r="E46" s="23">
        <v>5061</v>
      </c>
      <c r="F46" s="63">
        <v>191.2</v>
      </c>
      <c r="G46" s="9">
        <v>335</v>
      </c>
      <c r="H46" s="9">
        <v>280</v>
      </c>
      <c r="I46" s="9">
        <v>185</v>
      </c>
      <c r="J46" s="9" t="e">
        <f>_xlfn.MAXIFS([1]Max_Speed_Accel_Decel!$J$2:$J$287,[1]Max_Speed_Accel_Decel!$C$2:$C$287,Draft[[#This Row],[Offical ID]])</f>
        <v>#VALUE!</v>
      </c>
      <c r="K46" s="9"/>
      <c r="L46" s="9"/>
    </row>
    <row r="47" spans="1:12" hidden="1" x14ac:dyDescent="0.2">
      <c r="A47" s="48" t="s">
        <v>273</v>
      </c>
      <c r="B47" s="21" t="s">
        <v>601</v>
      </c>
      <c r="C47" s="23" t="str">
        <f>CONCATENATE(VLOOKUP(Draft[[#This Row],[Offical ID]],Master_Roster[[Offical ID]:[Last Name]],4,FALSE)," ",VLOOKUP(Draft[[#This Row],[Offical ID]],Master_Roster[[Offical ID]:[Last Name]],3,FALSE))</f>
        <v>Gordon Diesel</v>
      </c>
      <c r="D47" s="23" t="str">
        <f>VLOOKUP(Draft[[#This Row],[Offical ID]],Table5[[Offical Id]:[Year]],3,FALSE)</f>
        <v>R-So.</v>
      </c>
      <c r="E47" s="23">
        <v>5061</v>
      </c>
      <c r="F47" s="63">
        <v>187.2</v>
      </c>
      <c r="G47" s="9">
        <v>365</v>
      </c>
      <c r="H47" s="9">
        <v>290</v>
      </c>
      <c r="I47" s="9">
        <v>245</v>
      </c>
      <c r="J47" s="9" t="e">
        <f>_xlfn.MAXIFS([1]Max_Speed_Accel_Decel!$J$2:$J$287,[1]Max_Speed_Accel_Decel!$C$2:$C$287,Draft[[#This Row],[Offical ID]])</f>
        <v>#VALUE!</v>
      </c>
      <c r="K47" s="9"/>
      <c r="L47" s="9"/>
    </row>
    <row r="48" spans="1:12" hidden="1" x14ac:dyDescent="0.2">
      <c r="A48" s="48" t="s">
        <v>44</v>
      </c>
      <c r="B48" s="21" t="s">
        <v>627</v>
      </c>
      <c r="C48" s="23" t="str">
        <f>CONCATENATE(VLOOKUP(Draft[[#This Row],[Offical ID]],Master_Roster[[Offical ID]:[Last Name]],4,FALSE)," ",VLOOKUP(Draft[[#This Row],[Offical ID]],Master_Roster[[Offical ID]:[Last Name]],3,FALSE))</f>
        <v>Williams Jordan</v>
      </c>
      <c r="D48" s="23" t="str">
        <f>VLOOKUP(Draft[[#This Row],[Offical ID]],Table5[[Offical Id]:[Year]],3,FALSE)</f>
        <v>Jr.</v>
      </c>
      <c r="E48" s="23">
        <v>0</v>
      </c>
      <c r="F48" s="63">
        <v>221.8</v>
      </c>
      <c r="G48" s="9">
        <v>410</v>
      </c>
      <c r="H48" s="9">
        <v>295</v>
      </c>
      <c r="I48" s="9">
        <v>265</v>
      </c>
      <c r="J48" s="9" t="e">
        <f>_xlfn.MAXIFS([1]Max_Speed_Accel_Decel!$J$2:$J$287,[1]Max_Speed_Accel_Decel!$C$2:$C$287,Draft[[#This Row],[Offical ID]])</f>
        <v>#VALUE!</v>
      </c>
      <c r="K48" s="9"/>
      <c r="L48" s="9"/>
    </row>
    <row r="49" spans="1:12" hidden="1" x14ac:dyDescent="0.2">
      <c r="A49" s="48" t="s">
        <v>275</v>
      </c>
      <c r="B49" s="21" t="s">
        <v>615</v>
      </c>
      <c r="C49" s="23" t="str">
        <f>CONCATENATE(VLOOKUP(Draft[[#This Row],[Offical ID]],Master_Roster[[Offical ID]:[Last Name]],4,FALSE)," ",VLOOKUP(Draft[[#This Row],[Offical ID]],Master_Roster[[Offical ID]:[Last Name]],3,FALSE))</f>
        <v>Hood Jamal</v>
      </c>
      <c r="D49" s="23" t="str">
        <f>VLOOKUP(Draft[[#This Row],[Offical ID]],Table5[[Offical Id]:[Year]],3,FALSE)</f>
        <v>Jr.</v>
      </c>
      <c r="E49" s="23">
        <v>5061</v>
      </c>
      <c r="F49" s="63">
        <v>182.4</v>
      </c>
      <c r="G49" s="9">
        <v>340</v>
      </c>
      <c r="H49" s="9">
        <v>250</v>
      </c>
      <c r="I49" s="9">
        <v>225</v>
      </c>
      <c r="J49" s="9" t="e">
        <f>_xlfn.MAXIFS([1]Max_Speed_Accel_Decel!$J$2:$J$287,[1]Max_Speed_Accel_Decel!$C$2:$C$287,Draft[[#This Row],[Offical ID]])</f>
        <v>#VALUE!</v>
      </c>
      <c r="K49" s="9"/>
      <c r="L49" s="9"/>
    </row>
    <row r="50" spans="1:12" hidden="1" x14ac:dyDescent="0.2">
      <c r="A50" s="48" t="s">
        <v>9</v>
      </c>
      <c r="B50" s="21" t="s">
        <v>640</v>
      </c>
      <c r="C50" s="23" t="str">
        <f>CONCATENATE(VLOOKUP(Draft[[#This Row],[Offical ID]],Master_Roster[[Offical ID]:[Last Name]],4,FALSE)," ",VLOOKUP(Draft[[#This Row],[Offical ID]],Master_Roster[[Offical ID]:[Last Name]],3,FALSE))</f>
        <v>Johnson-Burrell Lamont</v>
      </c>
      <c r="D50" s="23" t="str">
        <f>VLOOKUP(Draft[[#This Row],[Offical ID]],Table5[[Offical Id]:[Year]],3,FALSE)</f>
        <v>Jr.</v>
      </c>
      <c r="E50" s="23">
        <v>5060</v>
      </c>
      <c r="F50" s="63">
        <v>188</v>
      </c>
      <c r="G50" s="9">
        <v>365</v>
      </c>
      <c r="H50" s="9">
        <v>260</v>
      </c>
      <c r="I50" s="9">
        <v>255</v>
      </c>
      <c r="J50" s="9" t="e">
        <f>_xlfn.MAXIFS([1]Max_Speed_Accel_Decel!$J$2:$J$287,[1]Max_Speed_Accel_Decel!$C$2:$C$287,Draft[[#This Row],[Offical ID]])</f>
        <v>#VALUE!</v>
      </c>
      <c r="K50" s="9"/>
      <c r="L50" s="9"/>
    </row>
    <row r="51" spans="1:12" hidden="1" x14ac:dyDescent="0.2">
      <c r="A51" s="48" t="s">
        <v>320</v>
      </c>
      <c r="B51" s="21" t="s">
        <v>594</v>
      </c>
      <c r="C51" s="23" t="str">
        <f>CONCATENATE(VLOOKUP(Draft[[#This Row],[Offical ID]],Master_Roster[[Offical ID]:[Last Name]],4,FALSE)," ",VLOOKUP(Draft[[#This Row],[Offical ID]],Master_Roster[[Offical ID]:[Last Name]],3,FALSE))</f>
        <v>Lee Ricky</v>
      </c>
      <c r="D51" s="23" t="str">
        <f>VLOOKUP(Draft[[#This Row],[Offical ID]],Table5[[Offical Id]:[Year]],3,FALSE)</f>
        <v>So.</v>
      </c>
      <c r="E51" s="23">
        <v>6036</v>
      </c>
      <c r="F51" s="63">
        <v>161.19999999999999</v>
      </c>
      <c r="G51" s="9">
        <v>350</v>
      </c>
      <c r="H51" s="9">
        <v>250</v>
      </c>
      <c r="I51" s="9">
        <v>225</v>
      </c>
      <c r="J51" s="9" t="e">
        <f>_xlfn.MAXIFS([1]Max_Speed_Accel_Decel!$J$2:$J$287,[1]Max_Speed_Accel_Decel!$C$2:$C$287,Draft[[#This Row],[Offical ID]])</f>
        <v>#VALUE!</v>
      </c>
      <c r="K51" s="9"/>
      <c r="L51" s="9"/>
    </row>
    <row r="52" spans="1:12" hidden="1" x14ac:dyDescent="0.2">
      <c r="A52" s="48" t="s">
        <v>22</v>
      </c>
      <c r="B52" s="21" t="s">
        <v>611</v>
      </c>
      <c r="C52" s="23" t="str">
        <f>CONCATENATE(VLOOKUP(Draft[[#This Row],[Offical ID]],Master_Roster[[Offical ID]:[Last Name]],4,FALSE)," ",VLOOKUP(Draft[[#This Row],[Offical ID]],Master_Roster[[Offical ID]:[Last Name]],3,FALSE))</f>
        <v>McDaniel Damien</v>
      </c>
      <c r="D52" s="23" t="str">
        <f>VLOOKUP(Draft[[#This Row],[Offical ID]],Table5[[Offical Id]:[Year]],3,FALSE)</f>
        <v>R-Fr.</v>
      </c>
      <c r="E52" s="23">
        <v>6050</v>
      </c>
      <c r="F52" s="63">
        <v>178.2</v>
      </c>
      <c r="G52" s="9">
        <v>310</v>
      </c>
      <c r="H52" s="9">
        <v>215</v>
      </c>
      <c r="I52" s="9">
        <v>225</v>
      </c>
      <c r="J52" s="9" t="e">
        <f>_xlfn.MAXIFS([1]Max_Speed_Accel_Decel!$J$2:$J$287,[1]Max_Speed_Accel_Decel!$C$2:$C$287,Draft[[#This Row],[Offical ID]])</f>
        <v>#VALUE!</v>
      </c>
      <c r="K52" s="9"/>
      <c r="L52" s="9"/>
    </row>
    <row r="53" spans="1:12" hidden="1" x14ac:dyDescent="0.2">
      <c r="A53" s="48" t="s">
        <v>0</v>
      </c>
      <c r="B53" s="21" t="s">
        <v>629</v>
      </c>
      <c r="C53" s="23" t="e">
        <f>CONCATENATE(VLOOKUP(Draft[[#This Row],[Offical ID]],Master_Roster[[Offical ID]:[Last Name]],4,FALSE)," ",VLOOKUP(Draft[[#This Row],[Offical ID]],Master_Roster[[Offical ID]:[Last Name]],3,FALSE))</f>
        <v>#N/A</v>
      </c>
      <c r="D53" s="23" t="str">
        <f>VLOOKUP(Draft[[#This Row],[Offical ID]],Table5[[Offical Id]:[Year]],3,FALSE)</f>
        <v>So.</v>
      </c>
      <c r="E53" s="23">
        <v>5106</v>
      </c>
      <c r="F53" s="63">
        <v>194</v>
      </c>
      <c r="G53" s="9">
        <v>390</v>
      </c>
      <c r="H53" s="9">
        <v>285</v>
      </c>
      <c r="I53" s="9">
        <v>265</v>
      </c>
      <c r="J53" s="9" t="e">
        <f>_xlfn.MAXIFS([1]Max_Speed_Accel_Decel!$J$2:$J$287,[1]Max_Speed_Accel_Decel!$C$2:$C$287,Draft[[#This Row],[Offical ID]])</f>
        <v>#VALUE!</v>
      </c>
      <c r="K53" s="9"/>
      <c r="L53" s="9"/>
    </row>
    <row r="54" spans="1:12" hidden="1" x14ac:dyDescent="0.2">
      <c r="A54" s="68" t="s">
        <v>454</v>
      </c>
      <c r="B54" s="25" t="s">
        <v>642</v>
      </c>
      <c r="C54" s="23" t="str">
        <f>CONCATENATE(VLOOKUP(Draft[[#This Row],[Offical ID]],Master_Roster[[Offical ID]:[Last Name]],4,FALSE)," ",VLOOKUP(Draft[[#This Row],[Offical ID]],Master_Roster[[Offical ID]:[Last Name]],3,FALSE))</f>
        <v>Mitchell Naytel</v>
      </c>
      <c r="D54" s="23" t="str">
        <f>VLOOKUP(Draft[[#This Row],[Offical ID]],Table5[[Offical Id]:[Year]],3,FALSE)</f>
        <v>Fr.</v>
      </c>
      <c r="E54" s="23">
        <v>5106</v>
      </c>
      <c r="F54" s="63">
        <v>202.4</v>
      </c>
      <c r="G54" s="9">
        <v>250</v>
      </c>
      <c r="H54" s="9">
        <v>320</v>
      </c>
      <c r="I54" s="9">
        <v>225</v>
      </c>
      <c r="J54" s="9" t="e">
        <f>_xlfn.MAXIFS([1]Max_Speed_Accel_Decel!$J$2:$J$287,[1]Max_Speed_Accel_Decel!$C$2:$C$287,Draft[[#This Row],[Offical ID]])</f>
        <v>#VALUE!</v>
      </c>
      <c r="K54" s="9"/>
      <c r="L54" s="9"/>
    </row>
    <row r="55" spans="1:12" ht="16.5" x14ac:dyDescent="0.2">
      <c r="A55" s="48" t="s">
        <v>45</v>
      </c>
      <c r="B55" s="54" t="s">
        <v>632</v>
      </c>
      <c r="C55" s="21" t="str">
        <f>CONCATENATE(VLOOKUP(Draft[[#This Row],[Offical ID]],Master_Roster[[Offical ID]:[Last Name]],4,FALSE)," ",VLOOKUP(Draft[[#This Row],[Offical ID]],Master_Roster[[Offical ID]:[Last Name]],3,FALSE))</f>
        <v>Cashiola Josh</v>
      </c>
      <c r="D55" s="21" t="str">
        <f>VLOOKUP(Draft[[#This Row],[Offical ID]],Table5[[Offical Id]:[Year]],3,FALSE)</f>
        <v>Sr.</v>
      </c>
      <c r="E55" s="21">
        <v>6024</v>
      </c>
      <c r="F55" s="73">
        <v>232.8</v>
      </c>
      <c r="G55" s="30">
        <v>450</v>
      </c>
      <c r="H55" s="30">
        <v>265</v>
      </c>
      <c r="I55" s="30">
        <v>295</v>
      </c>
      <c r="J55" s="74" t="e">
        <f>_xlfn.MAXIFS([1]Max_Speed_Accel_Decel!$J$2:$J$287,[1]Max_Speed_Accel_Decel!$C$2:$C$287,Draft[[#This Row],[Offical ID]])</f>
        <v>#VALUE!</v>
      </c>
      <c r="K55" s="104">
        <v>35</v>
      </c>
      <c r="L55" s="103" t="s">
        <v>933</v>
      </c>
    </row>
    <row r="56" spans="1:12" hidden="1" x14ac:dyDescent="0.2">
      <c r="A56" s="71" t="s">
        <v>6</v>
      </c>
      <c r="B56" s="24" t="s">
        <v>637</v>
      </c>
      <c r="C56" s="23" t="str">
        <f>CONCATENATE(VLOOKUP(Draft[[#This Row],[Offical ID]],Master_Roster[[Offical ID]:[Last Name]],4,FALSE)," ",VLOOKUP(Draft[[#This Row],[Offical ID]],Master_Roster[[Offical ID]:[Last Name]],3,FALSE))</f>
        <v>Mullican Elias</v>
      </c>
      <c r="D56" s="23" t="str">
        <f>VLOOKUP(Draft[[#This Row],[Offical ID]],Table5[[Offical Id]:[Year]],3,FALSE)</f>
        <v>Jr.</v>
      </c>
      <c r="E56" s="23">
        <v>5106</v>
      </c>
      <c r="F56" s="63">
        <v>175.8</v>
      </c>
      <c r="G56" s="9">
        <v>365</v>
      </c>
      <c r="H56" s="9">
        <v>265</v>
      </c>
      <c r="I56" s="9">
        <v>260</v>
      </c>
      <c r="J56" s="9" t="e">
        <f>_xlfn.MAXIFS([1]Max_Speed_Accel_Decel!$J$2:$J$287,[1]Max_Speed_Accel_Decel!$C$2:$C$287,Draft[[#This Row],[Offical ID]])</f>
        <v>#VALUE!</v>
      </c>
      <c r="K56" s="9"/>
      <c r="L56" s="9"/>
    </row>
    <row r="57" spans="1:12" hidden="1" x14ac:dyDescent="0.2">
      <c r="A57" s="48" t="s">
        <v>279</v>
      </c>
      <c r="B57" s="21" t="s">
        <v>630</v>
      </c>
      <c r="C57" s="23" t="str">
        <f>CONCATENATE(VLOOKUP(Draft[[#This Row],[Offical ID]],Master_Roster[[Offical ID]:[Last Name]],4,FALSE)," ",VLOOKUP(Draft[[#This Row],[Offical ID]],Master_Roster[[Offical ID]:[Last Name]],3,FALSE))</f>
        <v>Nickens Tye</v>
      </c>
      <c r="D57" s="23" t="str">
        <f>VLOOKUP(Draft[[#This Row],[Offical ID]],Table5[[Offical Id]:[Year]],3,FALSE)</f>
        <v>Fr.</v>
      </c>
      <c r="E57" s="23">
        <v>5106</v>
      </c>
      <c r="F57" s="63">
        <v>171.4</v>
      </c>
      <c r="G57" s="9">
        <v>395</v>
      </c>
      <c r="H57" s="9">
        <v>245</v>
      </c>
      <c r="I57" s="9">
        <v>240</v>
      </c>
      <c r="J57" s="9" t="e">
        <f>_xlfn.MAXIFS([1]Max_Speed_Accel_Decel!$J$2:$J$287,[1]Max_Speed_Accel_Decel!$C$2:$C$287,Draft[[#This Row],[Offical ID]])</f>
        <v>#VALUE!</v>
      </c>
      <c r="K57" s="9"/>
      <c r="L57" s="9"/>
    </row>
    <row r="58" spans="1:12" hidden="1" x14ac:dyDescent="0.2">
      <c r="A58" s="68" t="s">
        <v>52</v>
      </c>
      <c r="B58" s="25" t="s">
        <v>683</v>
      </c>
      <c r="C58" s="23" t="str">
        <f>CONCATENATE(VLOOKUP(Draft[[#This Row],[Offical ID]],Master_Roster[[Offical ID]:[Last Name]],4,FALSE)," ",VLOOKUP(Draft[[#This Row],[Offical ID]],Master_Roster[[Offical ID]:[Last Name]],3,FALSE))</f>
        <v>McKay Richard</v>
      </c>
      <c r="D58" s="23" t="str">
        <f>VLOOKUP(Draft[[#This Row],[Offical ID]],Table5[[Offical Id]:[Year]],3,FALSE)</f>
        <v>So.</v>
      </c>
      <c r="E58" s="23">
        <v>5106</v>
      </c>
      <c r="F58" s="63">
        <v>290.60000000000002</v>
      </c>
      <c r="G58" s="9">
        <v>435</v>
      </c>
      <c r="H58" s="9">
        <v>325</v>
      </c>
      <c r="I58" s="9">
        <v>290</v>
      </c>
      <c r="J58" s="9" t="e">
        <f>_xlfn.MAXIFS([1]Max_Speed_Accel_Decel!$J$2:$J$287,[1]Max_Speed_Accel_Decel!$C$2:$C$287,Draft[[#This Row],[Offical ID]])</f>
        <v>#VALUE!</v>
      </c>
      <c r="K58" s="9"/>
      <c r="L58" s="9"/>
    </row>
    <row r="59" spans="1:12" ht="16.5" x14ac:dyDescent="0.2">
      <c r="A59" s="48" t="s">
        <v>20</v>
      </c>
      <c r="B59" s="54" t="s">
        <v>626</v>
      </c>
      <c r="C59" s="21" t="str">
        <f>CONCATENATE(VLOOKUP(Draft[[#This Row],[Offical ID]],Master_Roster[[Offical ID]:[Last Name]],4,FALSE)," ",VLOOKUP(Draft[[#This Row],[Offical ID]],Master_Roster[[Offical ID]:[Last Name]],3,FALSE))</f>
        <v>Higgins Kaleb</v>
      </c>
      <c r="D59" s="21" t="str">
        <f>VLOOKUP(Draft[[#This Row],[Offical ID]],Table5[[Offical Id]:[Year]],3,FALSE)</f>
        <v>Sr.</v>
      </c>
      <c r="E59" s="21">
        <v>6020</v>
      </c>
      <c r="F59" s="73">
        <v>195.8</v>
      </c>
      <c r="G59" s="30">
        <v>390</v>
      </c>
      <c r="H59" s="30">
        <v>255</v>
      </c>
      <c r="I59" s="30">
        <v>335</v>
      </c>
      <c r="J59" s="74" t="e">
        <f>_xlfn.MAXIFS([1]Max_Speed_Accel_Decel!$J$2:$J$287,[1]Max_Speed_Accel_Decel!$C$2:$C$287,Draft[[#This Row],[Offical ID]])</f>
        <v>#VALUE!</v>
      </c>
      <c r="K59" s="103">
        <v>38</v>
      </c>
      <c r="L59" s="103" t="s">
        <v>934</v>
      </c>
    </row>
    <row r="60" spans="1:12" hidden="1" x14ac:dyDescent="0.2">
      <c r="A60" s="71" t="s">
        <v>294</v>
      </c>
      <c r="B60" s="24" t="s">
        <v>676</v>
      </c>
      <c r="C60" s="23" t="str">
        <f>CONCATENATE(VLOOKUP(Draft[[#This Row],[Offical ID]],Master_Roster[[Offical ID]:[Last Name]],4,FALSE)," ",VLOOKUP(Draft[[#This Row],[Offical ID]],Master_Roster[[Offical ID]:[Last Name]],3,FALSE))</f>
        <v>Moore Jaxon</v>
      </c>
      <c r="D60" s="23" t="str">
        <f>VLOOKUP(Draft[[#This Row],[Offical ID]],Table5[[Offical Id]:[Year]],3,FALSE)</f>
        <v>Fr.</v>
      </c>
      <c r="E60" s="23">
        <v>5106</v>
      </c>
      <c r="F60" s="63">
        <v>322.8</v>
      </c>
      <c r="G60" s="9">
        <v>400</v>
      </c>
      <c r="H60" s="9">
        <v>320</v>
      </c>
      <c r="I60" s="9">
        <v>250</v>
      </c>
      <c r="J60" s="9" t="e">
        <f>_xlfn.MAXIFS([1]Max_Speed_Accel_Decel!$J$2:$J$287,[1]Max_Speed_Accel_Decel!$C$2:$C$287,Draft[[#This Row],[Offical ID]])</f>
        <v>#VALUE!</v>
      </c>
      <c r="K60" s="9"/>
      <c r="L60" s="9"/>
    </row>
    <row r="61" spans="1:12" hidden="1" x14ac:dyDescent="0.2">
      <c r="A61" s="68" t="s">
        <v>51</v>
      </c>
      <c r="B61" s="25" t="s">
        <v>663</v>
      </c>
      <c r="C61" s="23" t="str">
        <f>CONCATENATE(VLOOKUP(Draft[[#This Row],[Offical ID]],Master_Roster[[Offical ID]:[Last Name]],4,FALSE)," ",VLOOKUP(Draft[[#This Row],[Offical ID]],Master_Roster[[Offical ID]:[Last Name]],3,FALSE))</f>
        <v>Ortiz Elijah</v>
      </c>
      <c r="D61" s="23" t="str">
        <f>VLOOKUP(Draft[[#This Row],[Offical ID]],Table5[[Offical Id]:[Year]],3,FALSE)</f>
        <v>Sr.</v>
      </c>
      <c r="E61" s="23">
        <v>5106</v>
      </c>
      <c r="F61" s="63">
        <v>300.3</v>
      </c>
      <c r="G61" s="9">
        <v>545</v>
      </c>
      <c r="H61" s="9">
        <v>320</v>
      </c>
      <c r="I61" s="9">
        <v>270</v>
      </c>
      <c r="J61" s="9" t="e">
        <f>_xlfn.MAXIFS([1]Max_Speed_Accel_Decel!$J$2:$J$287,[1]Max_Speed_Accel_Decel!$C$2:$C$287,Draft[[#This Row],[Offical ID]])</f>
        <v>#VALUE!</v>
      </c>
      <c r="K61" s="9"/>
      <c r="L61" s="9"/>
    </row>
    <row r="62" spans="1:12" ht="16.5" x14ac:dyDescent="0.2">
      <c r="A62" s="48" t="s">
        <v>53</v>
      </c>
      <c r="B62" s="54" t="s">
        <v>668</v>
      </c>
      <c r="C62" s="21" t="str">
        <f>CONCATENATE(VLOOKUP(Draft[[#This Row],[Offical ID]],Master_Roster[[Offical ID]:[Last Name]],4,FALSE)," ",VLOOKUP(Draft[[#This Row],[Offical ID]],Master_Roster[[Offical ID]:[Last Name]],3,FALSE))</f>
        <v>Riley Kenndel</v>
      </c>
      <c r="D62" s="21" t="str">
        <f>VLOOKUP(Draft[[#This Row],[Offical ID]],Table5[[Offical Id]:[Year]],3,FALSE)</f>
        <v>Sr.</v>
      </c>
      <c r="E62" s="21">
        <v>6032</v>
      </c>
      <c r="F62" s="73">
        <v>311.2</v>
      </c>
      <c r="G62" s="30">
        <v>545</v>
      </c>
      <c r="H62" s="30">
        <v>330</v>
      </c>
      <c r="I62" s="30">
        <v>265</v>
      </c>
      <c r="J62" s="74" t="e">
        <f>_xlfn.MAXIFS([1]Max_Speed_Accel_Decel!$J$2:$J$287,[1]Max_Speed_Accel_Decel!$C$2:$C$287,Draft[[#This Row],[Offical ID]])</f>
        <v>#VALUE!</v>
      </c>
      <c r="K62" s="103">
        <v>22.5</v>
      </c>
      <c r="L62" s="103" t="s">
        <v>932</v>
      </c>
    </row>
    <row r="63" spans="1:12" hidden="1" x14ac:dyDescent="0.2">
      <c r="A63" s="71" t="s">
        <v>67</v>
      </c>
      <c r="B63" s="24" t="s">
        <v>610</v>
      </c>
      <c r="C63" s="23" t="str">
        <f>CONCATENATE(VLOOKUP(Draft[[#This Row],[Offical ID]],Master_Roster[[Offical ID]:[Last Name]],4,FALSE)," ",VLOOKUP(Draft[[#This Row],[Offical ID]],Master_Roster[[Offical ID]:[Last Name]],3,FALSE))</f>
        <v>Ross Kris</v>
      </c>
      <c r="D63" s="23" t="str">
        <f>VLOOKUP(Draft[[#This Row],[Offical ID]],Table5[[Offical Id]:[Year]],3,FALSE)</f>
        <v>Jr.</v>
      </c>
      <c r="E63" s="23">
        <v>6000</v>
      </c>
      <c r="F63" s="63">
        <v>265.60000000000002</v>
      </c>
      <c r="G63" s="9">
        <v>415</v>
      </c>
      <c r="H63" s="9">
        <v>295</v>
      </c>
      <c r="I63" s="9">
        <v>275</v>
      </c>
      <c r="J63" s="9" t="e">
        <f>_xlfn.MAXIFS([1]Max_Speed_Accel_Decel!$J$2:$J$287,[1]Max_Speed_Accel_Decel!$C$2:$C$287,Draft[[#This Row],[Offical ID]])</f>
        <v>#VALUE!</v>
      </c>
      <c r="K63" s="9"/>
      <c r="L63" s="9"/>
    </row>
    <row r="64" spans="1:12" hidden="1" x14ac:dyDescent="0.2">
      <c r="A64" s="48" t="s">
        <v>295</v>
      </c>
      <c r="B64" s="21" t="s">
        <v>681</v>
      </c>
      <c r="C64" s="23" t="str">
        <f>CONCATENATE(VLOOKUP(Draft[[#This Row],[Offical ID]],Master_Roster[[Offical ID]:[Last Name]],4,FALSE)," ",VLOOKUP(Draft[[#This Row],[Offical ID]],Master_Roster[[Offical ID]:[Last Name]],3,FALSE))</f>
        <v>Sheffield DeAnthony</v>
      </c>
      <c r="D64" s="23" t="str">
        <f>VLOOKUP(Draft[[#This Row],[Offical ID]],Table5[[Offical Id]:[Year]],3,FALSE)</f>
        <v>Jr.</v>
      </c>
      <c r="E64" s="23">
        <v>6000</v>
      </c>
      <c r="F64" s="63">
        <v>344.4</v>
      </c>
      <c r="G64" s="9">
        <v>420</v>
      </c>
      <c r="H64" s="9">
        <v>330</v>
      </c>
      <c r="I64" s="9" t="s">
        <v>923</v>
      </c>
      <c r="J64" s="9" t="e">
        <f>_xlfn.MAXIFS([1]Max_Speed_Accel_Decel!$J$2:$J$287,[1]Max_Speed_Accel_Decel!$C$2:$C$287,Draft[[#This Row],[Offical ID]])</f>
        <v>#VALUE!</v>
      </c>
      <c r="K64" s="9"/>
      <c r="L64" s="9"/>
    </row>
    <row r="65" spans="1:12" hidden="1" x14ac:dyDescent="0.2">
      <c r="A65" s="48" t="s">
        <v>58</v>
      </c>
      <c r="B65" s="21" t="s">
        <v>674</v>
      </c>
      <c r="C65" s="23" t="str">
        <f>CONCATENATE(VLOOKUP(Draft[[#This Row],[Offical ID]],Master_Roster[[Offical ID]:[Last Name]],4,FALSE)," ",VLOOKUP(Draft[[#This Row],[Offical ID]],Master_Roster[[Offical ID]:[Last Name]],3,FALSE))</f>
        <v>Slater Luke</v>
      </c>
      <c r="D65" s="23" t="str">
        <f>VLOOKUP(Draft[[#This Row],[Offical ID]],Table5[[Offical Id]:[Year]],3,FALSE)</f>
        <v>R-Fr.</v>
      </c>
      <c r="E65" s="23">
        <v>6000</v>
      </c>
      <c r="F65" s="63">
        <v>265.2</v>
      </c>
      <c r="G65" s="9">
        <v>565</v>
      </c>
      <c r="H65" s="9">
        <v>340</v>
      </c>
      <c r="I65" s="9">
        <v>295</v>
      </c>
      <c r="J65" s="9" t="e">
        <f>_xlfn.MAXIFS([1]Max_Speed_Accel_Decel!$J$2:$J$287,[1]Max_Speed_Accel_Decel!$C$2:$C$287,Draft[[#This Row],[Offical ID]])</f>
        <v>#VALUE!</v>
      </c>
      <c r="K65" s="9"/>
      <c r="L65" s="9"/>
    </row>
    <row r="66" spans="1:12" hidden="1" x14ac:dyDescent="0.2">
      <c r="A66" s="48" t="s">
        <v>64</v>
      </c>
      <c r="B66" s="21" t="s">
        <v>679</v>
      </c>
      <c r="C66" s="23" t="str">
        <f>CONCATENATE(VLOOKUP(Draft[[#This Row],[Offical ID]],Master_Roster[[Offical ID]:[Last Name]],4,FALSE)," ",VLOOKUP(Draft[[#This Row],[Offical ID]],Master_Roster[[Offical ID]:[Last Name]],3,FALSE))</f>
        <v>Soto Jose</v>
      </c>
      <c r="D66" s="23" t="str">
        <f>VLOOKUP(Draft[[#This Row],[Offical ID]],Table5[[Offical Id]:[Year]],3,FALSE)</f>
        <v>R-Fr.</v>
      </c>
      <c r="E66" s="23">
        <v>6000</v>
      </c>
      <c r="F66" s="63">
        <v>308.60000000000002</v>
      </c>
      <c r="G66" s="9">
        <v>590</v>
      </c>
      <c r="H66" s="9">
        <v>420</v>
      </c>
      <c r="I66" s="9">
        <v>315</v>
      </c>
      <c r="J66" s="9" t="e">
        <f>_xlfn.MAXIFS([1]Max_Speed_Accel_Decel!$J$2:$J$287,[1]Max_Speed_Accel_Decel!$C$2:$C$287,Draft[[#This Row],[Offical ID]])</f>
        <v>#VALUE!</v>
      </c>
      <c r="K66" s="9"/>
      <c r="L66" s="9"/>
    </row>
    <row r="67" spans="1:12" hidden="1" x14ac:dyDescent="0.2">
      <c r="A67" s="48" t="s">
        <v>49</v>
      </c>
      <c r="B67" s="21" t="s">
        <v>671</v>
      </c>
      <c r="C67" s="23" t="str">
        <f>CONCATENATE(VLOOKUP(Draft[[#This Row],[Offical ID]],Master_Roster[[Offical ID]:[Last Name]],4,FALSE)," ",VLOOKUP(Draft[[#This Row],[Offical ID]],Master_Roster[[Offical ID]:[Last Name]],3,FALSE))</f>
        <v>Sousa Brandon</v>
      </c>
      <c r="D67" s="23" t="str">
        <f>VLOOKUP(Draft[[#This Row],[Offical ID]],Table5[[Offical Id]:[Year]],3,FALSE)</f>
        <v>Jr.</v>
      </c>
      <c r="E67" s="23">
        <v>6000</v>
      </c>
      <c r="F67" s="63">
        <v>304.39999999999998</v>
      </c>
      <c r="G67" s="9">
        <v>530</v>
      </c>
      <c r="H67" s="9">
        <v>475</v>
      </c>
      <c r="I67" s="9">
        <v>285</v>
      </c>
      <c r="J67" s="9" t="e">
        <f>_xlfn.MAXIFS([1]Max_Speed_Accel_Decel!$J$2:$J$287,[1]Max_Speed_Accel_Decel!$C$2:$C$287,Draft[[#This Row],[Offical ID]])</f>
        <v>#VALUE!</v>
      </c>
      <c r="K67" s="9"/>
      <c r="L67" s="9"/>
    </row>
    <row r="68" spans="1:12" hidden="1" x14ac:dyDescent="0.2">
      <c r="A68" s="48" t="s">
        <v>35</v>
      </c>
      <c r="B68" s="21" t="s">
        <v>689</v>
      </c>
      <c r="C68" s="23" t="str">
        <f>CONCATENATE(VLOOKUP(Draft[[#This Row],[Offical ID]],Master_Roster[[Offical ID]:[Last Name]],4,FALSE)," ",VLOOKUP(Draft[[#This Row],[Offical ID]],Master_Roster[[Offical ID]:[Last Name]],3,FALSE))</f>
        <v>Huddle Elijah</v>
      </c>
      <c r="D68" s="23" t="str">
        <f>VLOOKUP(Draft[[#This Row],[Offical ID]],Table5[[Offical Id]:[Year]],3,FALSE)</f>
        <v>Fr.</v>
      </c>
      <c r="E68" s="23">
        <v>5061</v>
      </c>
      <c r="F68" s="63">
        <v>215.1</v>
      </c>
      <c r="G68" s="9">
        <v>435</v>
      </c>
      <c r="H68" s="9">
        <v>255</v>
      </c>
      <c r="I68" s="9">
        <v>275</v>
      </c>
      <c r="J68" s="9" t="e">
        <f>_xlfn.MAXIFS([1]Max_Speed_Accel_Decel!$J$2:$J$287,[1]Max_Speed_Accel_Decel!$C$2:$C$287,Draft[[#This Row],[Offical ID]])</f>
        <v>#VALUE!</v>
      </c>
      <c r="K68" s="9"/>
      <c r="L68" s="9"/>
    </row>
    <row r="69" spans="1:12" hidden="1" x14ac:dyDescent="0.2">
      <c r="A69" s="68" t="s">
        <v>463</v>
      </c>
      <c r="B69" s="25" t="s">
        <v>644</v>
      </c>
      <c r="C69" s="23" t="str">
        <f>CONCATENATE(VLOOKUP(Draft[[#This Row],[Offical ID]],Master_Roster[[Offical ID]:[Last Name]],4,FALSE)," ",VLOOKUP(Draft[[#This Row],[Offical ID]],Master_Roster[[Offical ID]:[Last Name]],3,FALSE))</f>
        <v>Jefferson KJ</v>
      </c>
      <c r="D69" s="23" t="str">
        <f>VLOOKUP(Draft[[#This Row],[Offical ID]],Table5[[Offical Id]:[Year]],3,FALSE)</f>
        <v>Fr.</v>
      </c>
      <c r="E69" s="23">
        <v>5061</v>
      </c>
      <c r="F69" s="63">
        <v>202</v>
      </c>
      <c r="G69" s="9">
        <v>460</v>
      </c>
      <c r="H69" s="9">
        <v>290</v>
      </c>
      <c r="I69" s="9">
        <v>270</v>
      </c>
      <c r="J69" s="9" t="e">
        <f>_xlfn.MAXIFS([1]Max_Speed_Accel_Decel!$J$2:$J$287,[1]Max_Speed_Accel_Decel!$C$2:$C$287,Draft[[#This Row],[Offical ID]])</f>
        <v>#VALUE!</v>
      </c>
      <c r="K69" s="9"/>
      <c r="L69" s="9"/>
    </row>
    <row r="70" spans="1:12" ht="16.5" x14ac:dyDescent="0.2">
      <c r="A70" s="48" t="s">
        <v>278</v>
      </c>
      <c r="B70" s="54" t="s">
        <v>625</v>
      </c>
      <c r="C70" s="21" t="str">
        <f>CONCATENATE(VLOOKUP(Draft[[#This Row],[Offical ID]],Master_Roster[[Offical ID]:[Last Name]],4,FALSE)," ",VLOOKUP(Draft[[#This Row],[Offical ID]],Master_Roster[[Offical ID]:[Last Name]],3,FALSE))</f>
        <v>Jones Jekob</v>
      </c>
      <c r="D70" s="21" t="str">
        <f>VLOOKUP(Draft[[#This Row],[Offical ID]],Table5[[Offical Id]:[Year]],3,FALSE)</f>
        <v>R-Sr.</v>
      </c>
      <c r="E70" s="21"/>
      <c r="F70" s="73">
        <v>231.4</v>
      </c>
      <c r="G70" s="30">
        <v>390</v>
      </c>
      <c r="H70" s="30">
        <v>335</v>
      </c>
      <c r="I70" s="30">
        <v>255</v>
      </c>
      <c r="J70" s="74" t="e">
        <f>_xlfn.MAXIFS([1]Max_Speed_Accel_Decel!$J$2:$J$287,[1]Max_Speed_Accel_Decel!$C$2:$C$287,Draft[[#This Row],[Offical ID]])</f>
        <v>#VALUE!</v>
      </c>
      <c r="K70" s="103">
        <v>30.5</v>
      </c>
      <c r="L70" s="103" t="s">
        <v>929</v>
      </c>
    </row>
    <row r="71" spans="1:12" hidden="1" x14ac:dyDescent="0.2">
      <c r="A71" s="71" t="s">
        <v>34</v>
      </c>
      <c r="B71" s="24" t="s">
        <v>605</v>
      </c>
      <c r="C71" s="23" t="str">
        <f>CONCATENATE(VLOOKUP(Draft[[#This Row],[Offical ID]],Master_Roster[[Offical ID]:[Last Name]],4,FALSE)," ",VLOOKUP(Draft[[#This Row],[Offical ID]],Master_Roster[[Offical ID]:[Last Name]],3,FALSE))</f>
        <v>Malone Jamar</v>
      </c>
      <c r="D71" s="23" t="str">
        <f>VLOOKUP(Draft[[#This Row],[Offical ID]],Table5[[Offical Id]:[Year]],3,FALSE)</f>
        <v>Fr.</v>
      </c>
      <c r="E71" s="23">
        <v>6036</v>
      </c>
      <c r="F71" s="63">
        <v>205.6</v>
      </c>
      <c r="G71" s="9" t="s">
        <v>923</v>
      </c>
      <c r="H71" s="9">
        <v>300</v>
      </c>
      <c r="I71" s="9">
        <v>250</v>
      </c>
      <c r="J71" s="9" t="e">
        <f>_xlfn.MAXIFS([1]Max_Speed_Accel_Decel!$J$2:$J$287,[1]Max_Speed_Accel_Decel!$C$2:$C$287,Draft[[#This Row],[Offical ID]])</f>
        <v>#VALUE!</v>
      </c>
      <c r="K71" s="9"/>
      <c r="L71" s="9"/>
    </row>
    <row r="72" spans="1:12" hidden="1" x14ac:dyDescent="0.2">
      <c r="A72" s="48" t="s">
        <v>305</v>
      </c>
      <c r="B72" s="21" t="s">
        <v>698</v>
      </c>
      <c r="C72" s="23" t="str">
        <f>CONCATENATE(VLOOKUP(Draft[[#This Row],[Offical ID]],Master_Roster[[Offical ID]:[Last Name]],4,FALSE)," ",VLOOKUP(Draft[[#This Row],[Offical ID]],Master_Roster[[Offical ID]:[Last Name]],3,FALSE))</f>
        <v>Mosley Micah</v>
      </c>
      <c r="D72" s="23" t="str">
        <f>VLOOKUP(Draft[[#This Row],[Offical ID]],Table5[[Offical Id]:[Year]],3,FALSE)</f>
        <v>Fr.</v>
      </c>
      <c r="E72" s="23">
        <v>5106</v>
      </c>
      <c r="F72" s="63">
        <v>235</v>
      </c>
      <c r="G72" s="9">
        <v>335</v>
      </c>
      <c r="H72" s="9">
        <v>335</v>
      </c>
      <c r="I72" s="9">
        <v>270</v>
      </c>
      <c r="J72" s="9" t="e">
        <f>_xlfn.MAXIFS([1]Max_Speed_Accel_Decel!$J$2:$J$287,[1]Max_Speed_Accel_Decel!$C$2:$C$287,Draft[[#This Row],[Offical ID]])</f>
        <v>#VALUE!</v>
      </c>
      <c r="K72" s="9"/>
      <c r="L72" s="9"/>
    </row>
    <row r="73" spans="1:12" hidden="1" x14ac:dyDescent="0.2">
      <c r="A73" s="68" t="s">
        <v>300</v>
      </c>
      <c r="B73" s="25" t="s">
        <v>691</v>
      </c>
      <c r="C73" s="23" t="str">
        <f>CONCATENATE(VLOOKUP(Draft[[#This Row],[Offical ID]],Master_Roster[[Offical ID]:[Last Name]],4,FALSE)," ",VLOOKUP(Draft[[#This Row],[Offical ID]],Master_Roster[[Offical ID]:[Last Name]],3,FALSE))</f>
        <v>Nelson Gavin</v>
      </c>
      <c r="D73" s="23" t="str">
        <f>VLOOKUP(Draft[[#This Row],[Offical ID]],Table5[[Offical Id]:[Year]],3,FALSE)</f>
        <v>Jr.</v>
      </c>
      <c r="E73" s="23">
        <v>5106</v>
      </c>
      <c r="F73" s="63">
        <v>233.6</v>
      </c>
      <c r="G73" s="9">
        <v>480</v>
      </c>
      <c r="H73" s="9">
        <v>335</v>
      </c>
      <c r="I73" s="9">
        <v>285</v>
      </c>
      <c r="J73" s="9" t="e">
        <f>_xlfn.MAXIFS([1]Max_Speed_Accel_Decel!$J$2:$J$287,[1]Max_Speed_Accel_Decel!$C$2:$C$287,Draft[[#This Row],[Offical ID]])</f>
        <v>#VALUE!</v>
      </c>
      <c r="K73" s="9"/>
      <c r="L73" s="9"/>
    </row>
    <row r="74" spans="1:12" ht="16.5" x14ac:dyDescent="0.2">
      <c r="A74" s="48" t="s">
        <v>569</v>
      </c>
      <c r="B74" s="54" t="s">
        <v>593</v>
      </c>
      <c r="C74" s="21" t="str">
        <f>CONCATENATE(VLOOKUP(Draft[[#This Row],[Offical ID]],Master_Roster[[Offical ID]:[Last Name]],4,FALSE)," ",VLOOKUP(Draft[[#This Row],[Offical ID]],Master_Roster[[Offical ID]:[Last Name]],3,FALSE))</f>
        <v>Swindle Melvin</v>
      </c>
      <c r="D74" s="21" t="str">
        <f>VLOOKUP(Draft[[#This Row],[Offical ID]],Table5[[Offical Id]:[Year]],3,FALSE)</f>
        <v>Sr.</v>
      </c>
      <c r="E74" s="21"/>
      <c r="F74" s="73">
        <v>286.39999999999998</v>
      </c>
      <c r="G74" s="30">
        <v>525</v>
      </c>
      <c r="H74" s="30">
        <v>340</v>
      </c>
      <c r="I74" s="30" t="s">
        <v>923</v>
      </c>
      <c r="J74" s="74" t="e">
        <f>_xlfn.MAXIFS([1]Max_Speed_Accel_Decel!$J$2:$J$287,[1]Max_Speed_Accel_Decel!$C$2:$C$287,Draft[[#This Row],[Offical ID]])</f>
        <v>#VALUE!</v>
      </c>
      <c r="K74" s="104"/>
      <c r="L74" s="104"/>
    </row>
    <row r="75" spans="1:12" hidden="1" x14ac:dyDescent="0.2">
      <c r="A75" s="71" t="s">
        <v>2</v>
      </c>
      <c r="B75" s="24" t="s">
        <v>631</v>
      </c>
      <c r="C75" s="23" t="str">
        <f>CONCATENATE(VLOOKUP(Draft[[#This Row],[Offical ID]],Master_Roster[[Offical ID]:[Last Name]],4,FALSE)," ",VLOOKUP(Draft[[#This Row],[Offical ID]],Master_Roster[[Offical ID]:[Last Name]],3,FALSE))</f>
        <v>Puloka Fata</v>
      </c>
      <c r="D75" s="23" t="str">
        <f>VLOOKUP(Draft[[#This Row],[Offical ID]],Table5[[Offical Id]:[Year]],3,FALSE)</f>
        <v>So.</v>
      </c>
      <c r="E75" s="23">
        <v>6000</v>
      </c>
      <c r="F75" s="63">
        <v>227.8</v>
      </c>
      <c r="G75" s="9">
        <v>370</v>
      </c>
      <c r="H75" s="9">
        <v>275</v>
      </c>
      <c r="I75" s="9">
        <v>275</v>
      </c>
      <c r="J75" s="9" t="e">
        <f>_xlfn.MAXIFS([1]Max_Speed_Accel_Decel!$J$2:$J$287,[1]Max_Speed_Accel_Decel!$C$2:$C$287,Draft[[#This Row],[Offical ID]])</f>
        <v>#VALUE!</v>
      </c>
      <c r="K75" s="9"/>
      <c r="L75" s="9"/>
    </row>
    <row r="76" spans="1:12" hidden="1" x14ac:dyDescent="0.2">
      <c r="A76" s="48" t="s">
        <v>364</v>
      </c>
      <c r="B76" s="21" t="s">
        <v>604</v>
      </c>
      <c r="C76" s="23" t="str">
        <f>CONCATENATE(VLOOKUP(Draft[[#This Row],[Offical ID]],Master_Roster[[Offical ID]:[Last Name]],4,FALSE)," ",VLOOKUP(Draft[[#This Row],[Offical ID]],Master_Roster[[Offical ID]:[Last Name]],3,FALSE))</f>
        <v>Rashada Jaden</v>
      </c>
      <c r="D76" s="23" t="str">
        <f>VLOOKUP(Draft[[#This Row],[Offical ID]],Table5[[Offical Id]:[Year]],3,FALSE)</f>
        <v>R-So.</v>
      </c>
      <c r="E76" s="23">
        <v>6000</v>
      </c>
      <c r="F76" s="63">
        <v>187</v>
      </c>
      <c r="G76" s="9" t="s">
        <v>923</v>
      </c>
      <c r="H76" s="9">
        <v>215</v>
      </c>
      <c r="I76" s="9" t="s">
        <v>923</v>
      </c>
      <c r="J76" s="9" t="e">
        <f>_xlfn.MAXIFS([1]Max_Speed_Accel_Decel!$J$2:$J$287,[1]Max_Speed_Accel_Decel!$C$2:$C$287,Draft[[#This Row],[Offical ID]])</f>
        <v>#VALUE!</v>
      </c>
      <c r="K76" s="9"/>
      <c r="L76" s="9"/>
    </row>
    <row r="77" spans="1:12" hidden="1" x14ac:dyDescent="0.2">
      <c r="A77" s="48" t="s">
        <v>8</v>
      </c>
      <c r="B77" s="21" t="s">
        <v>617</v>
      </c>
      <c r="C77" s="23" t="str">
        <f>CONCATENATE(VLOOKUP(Draft[[#This Row],[Offical ID]],Master_Roster[[Offical ID]:[Last Name]],4,FALSE)," ",VLOOKUP(Draft[[#This Row],[Offical ID]],Master_Roster[[Offical ID]:[Last Name]],3,FALSE))</f>
        <v>Oliver Jason</v>
      </c>
      <c r="D77" s="23" t="str">
        <f>VLOOKUP(Draft[[#This Row],[Offical ID]],Table5[[Offical Id]:[Year]],3,FALSE)</f>
        <v>Jr.</v>
      </c>
      <c r="E77" s="23">
        <v>5106</v>
      </c>
      <c r="F77" s="63">
        <v>174</v>
      </c>
      <c r="G77" s="9">
        <v>380</v>
      </c>
      <c r="H77" s="9">
        <v>275</v>
      </c>
      <c r="I77" s="9">
        <v>235</v>
      </c>
      <c r="J77" s="9" t="e">
        <f>_xlfn.MAXIFS([1]Max_Speed_Accel_Decel!$J$2:$J$287,[1]Max_Speed_Accel_Decel!$C$2:$C$287,Draft[[#This Row],[Offical ID]])</f>
        <v>#VALUE!</v>
      </c>
      <c r="K77" s="9"/>
      <c r="L77" s="9"/>
    </row>
    <row r="78" spans="1:12" hidden="1" x14ac:dyDescent="0.2">
      <c r="A78" s="48" t="s">
        <v>290</v>
      </c>
      <c r="B78" s="21" t="s">
        <v>654</v>
      </c>
      <c r="C78" s="23" t="str">
        <f>CONCATENATE(VLOOKUP(Draft[[#This Row],[Offical ID]],Master_Roster[[Offical ID]:[Last Name]],4,FALSE)," ",VLOOKUP(Draft[[#This Row],[Offical ID]],Master_Roster[[Offical ID]:[Last Name]],3,FALSE))</f>
        <v>Reese Caleb</v>
      </c>
      <c r="D78" s="23" t="str">
        <f>VLOOKUP(Draft[[#This Row],[Offical ID]],Table5[[Offical Id]:[Year]],3,FALSE)</f>
        <v>Fr.</v>
      </c>
      <c r="E78" s="23">
        <v>6000</v>
      </c>
      <c r="F78" s="63">
        <v>190</v>
      </c>
      <c r="G78" s="9">
        <v>365</v>
      </c>
      <c r="H78" s="9">
        <v>245</v>
      </c>
      <c r="I78" s="9">
        <v>240</v>
      </c>
      <c r="J78" s="9" t="e">
        <f>_xlfn.MAXIFS([1]Max_Speed_Accel_Decel!$J$2:$J$287,[1]Max_Speed_Accel_Decel!$C$2:$C$287,Draft[[#This Row],[Offical ID]])</f>
        <v>#VALUE!</v>
      </c>
      <c r="K78" s="9"/>
      <c r="L78" s="9"/>
    </row>
    <row r="79" spans="1:12" hidden="1" x14ac:dyDescent="0.2">
      <c r="A79" s="48" t="s">
        <v>299</v>
      </c>
      <c r="B79" s="21" t="s">
        <v>688</v>
      </c>
      <c r="C79" s="23" t="str">
        <f>CONCATENATE(VLOOKUP(Draft[[#This Row],[Offical ID]],Master_Roster[[Offical ID]:[Last Name]],4,FALSE)," ",VLOOKUP(Draft[[#This Row],[Offical ID]],Master_Roster[[Offical ID]:[Last Name]],3,FALSE))</f>
        <v>Robinson Dontae</v>
      </c>
      <c r="D79" s="23" t="str">
        <f>VLOOKUP(Draft[[#This Row],[Offical ID]],Table5[[Offical Id]:[Year]],3,FALSE)</f>
        <v>Jr.</v>
      </c>
      <c r="E79" s="23">
        <v>6000</v>
      </c>
      <c r="F79" s="63">
        <v>218.8</v>
      </c>
      <c r="G79" s="9">
        <v>370</v>
      </c>
      <c r="H79" s="9">
        <v>255</v>
      </c>
      <c r="I79" s="9">
        <v>225</v>
      </c>
      <c r="J79" s="9" t="e">
        <f>_xlfn.MAXIFS([1]Max_Speed_Accel_Decel!$J$2:$J$287,[1]Max_Speed_Accel_Decel!$C$2:$C$287,Draft[[#This Row],[Offical ID]])</f>
        <v>#VALUE!</v>
      </c>
      <c r="K79" s="9"/>
      <c r="L79" s="9"/>
    </row>
    <row r="80" spans="1:12" hidden="1" x14ac:dyDescent="0.2">
      <c r="A80" s="48" t="s">
        <v>26</v>
      </c>
      <c r="B80" s="21" t="s">
        <v>613</v>
      </c>
      <c r="C80" s="23" t="str">
        <f>CONCATENATE(VLOOKUP(Draft[[#This Row],[Offical ID]],Master_Roster[[Offical ID]:[Last Name]],4,FALSE)," ",VLOOKUP(Draft[[#This Row],[Offical ID]],Master_Roster[[Offical ID]:[Last Name]],3,FALSE))</f>
        <v>Robinson Jayden</v>
      </c>
      <c r="D80" s="23" t="str">
        <f>VLOOKUP(Draft[[#This Row],[Offical ID]],Table5[[Offical Id]:[Year]],3,FALSE)</f>
        <v>Jr.</v>
      </c>
      <c r="E80" s="23">
        <v>6000</v>
      </c>
      <c r="F80" s="63">
        <v>175.2</v>
      </c>
      <c r="G80" s="9">
        <v>285</v>
      </c>
      <c r="H80" s="9">
        <v>210</v>
      </c>
      <c r="I80" s="9">
        <v>185</v>
      </c>
      <c r="J80" s="9" t="e">
        <f>_xlfn.MAXIFS([1]Max_Speed_Accel_Decel!$J$2:$J$287,[1]Max_Speed_Accel_Decel!$C$2:$C$287,Draft[[#This Row],[Offical ID]])</f>
        <v>#VALUE!</v>
      </c>
      <c r="K80" s="9"/>
      <c r="L80" s="9"/>
    </row>
    <row r="81" spans="1:12" hidden="1" x14ac:dyDescent="0.2">
      <c r="A81" s="68" t="s">
        <v>407</v>
      </c>
      <c r="B81" s="25" t="s">
        <v>618</v>
      </c>
      <c r="C81" s="23" t="str">
        <f>CONCATENATE(VLOOKUP(Draft[[#This Row],[Offical ID]],Master_Roster[[Offical ID]:[Last Name]],4,FALSE)," ",VLOOKUP(Draft[[#This Row],[Offical ID]],Master_Roster[[Offical ID]:[Last Name]],3,FALSE))</f>
        <v>Smith Onterrio</v>
      </c>
      <c r="D81" s="23" t="str">
        <f>VLOOKUP(Draft[[#This Row],[Offical ID]],Table5[[Offical Id]:[Year]],3,FALSE)</f>
        <v>So.</v>
      </c>
      <c r="E81" s="23">
        <v>6000</v>
      </c>
      <c r="F81" s="63">
        <v>186.8</v>
      </c>
      <c r="G81" s="9">
        <v>375</v>
      </c>
      <c r="H81" s="9">
        <v>250</v>
      </c>
      <c r="I81" s="9">
        <v>275</v>
      </c>
      <c r="J81" s="9" t="e">
        <f>_xlfn.MAXIFS([1]Max_Speed_Accel_Decel!$J$2:$J$287,[1]Max_Speed_Accel_Decel!$C$2:$C$287,Draft[[#This Row],[Offical ID]])</f>
        <v>#VALUE!</v>
      </c>
      <c r="K81" s="9"/>
      <c r="L81" s="9"/>
    </row>
    <row r="82" spans="1:12" ht="16.5" x14ac:dyDescent="0.2">
      <c r="A82" s="48" t="s">
        <v>578</v>
      </c>
      <c r="B82" s="54" t="s">
        <v>712</v>
      </c>
      <c r="C82" s="21" t="str">
        <f>CONCATENATE(VLOOKUP(Draft[[#This Row],[Offical ID]],Master_Roster[[Offical ID]:[Last Name]],4,FALSE)," ",VLOOKUP(Draft[[#This Row],[Offical ID]],Master_Roster[[Offical ID]:[Last Name]],3,FALSE))</f>
        <v xml:space="preserve"> </v>
      </c>
      <c r="D82" s="21" t="s">
        <v>327</v>
      </c>
      <c r="E82" s="21">
        <v>5060</v>
      </c>
      <c r="F82" s="73">
        <v>190.696</v>
      </c>
      <c r="G82" s="30">
        <v>295</v>
      </c>
      <c r="H82" s="30" t="s">
        <v>923</v>
      </c>
      <c r="I82" s="30">
        <v>295</v>
      </c>
      <c r="J82" s="74" t="e">
        <f>_xlfn.MAXIFS([1]Max_Speed_Accel_Decel!$J$2:$J$287,[1]Max_Speed_Accel_Decel!$C$2:$C$287,Draft[[#This Row],[Offical ID]])</f>
        <v>#VALUE!</v>
      </c>
      <c r="K82" s="103">
        <v>31.5</v>
      </c>
      <c r="L82" s="103" t="s">
        <v>929</v>
      </c>
    </row>
    <row r="83" spans="1:12" hidden="1" x14ac:dyDescent="0.2">
      <c r="A83" s="71" t="s">
        <v>69</v>
      </c>
      <c r="B83" s="24" t="s">
        <v>659</v>
      </c>
      <c r="C83" s="23" t="str">
        <f>CONCATENATE(VLOOKUP(Draft[[#This Row],[Offical ID]],Master_Roster[[Offical ID]:[Last Name]],4,FALSE)," ",VLOOKUP(Draft[[#This Row],[Offical ID]],Master_Roster[[Offical ID]:[Last Name]],3,FALSE))</f>
        <v>Solis Jojo</v>
      </c>
      <c r="D83" s="23" t="str">
        <f>VLOOKUP(Draft[[#This Row],[Offical ID]],Table5[[Offical Id]:[Year]],3,FALSE)</f>
        <v>Fr.</v>
      </c>
      <c r="E83" s="23">
        <v>6000</v>
      </c>
      <c r="F83" s="63">
        <v>190.8</v>
      </c>
      <c r="G83" s="9">
        <v>420</v>
      </c>
      <c r="H83" s="9">
        <v>265</v>
      </c>
      <c r="I83" s="9">
        <v>255</v>
      </c>
      <c r="J83" s="9" t="e">
        <f>_xlfn.MAXIFS([1]Max_Speed_Accel_Decel!$J$2:$J$287,[1]Max_Speed_Accel_Decel!$C$2:$C$287,Draft[[#This Row],[Offical ID]])</f>
        <v>#VALUE!</v>
      </c>
      <c r="K83" s="9"/>
      <c r="L83" s="9"/>
    </row>
    <row r="84" spans="1:12" hidden="1" x14ac:dyDescent="0.2">
      <c r="A84" s="48" t="s">
        <v>25</v>
      </c>
      <c r="B84" s="21" t="s">
        <v>634</v>
      </c>
      <c r="C84" s="23" t="str">
        <f>CONCATENATE(VLOOKUP(Draft[[#This Row],[Offical ID]],Master_Roster[[Offical ID]:[Last Name]],4,FALSE)," ",VLOOKUP(Draft[[#This Row],[Offical ID]],Master_Roster[[Offical ID]:[Last Name]],3,FALSE))</f>
        <v>Taylor Adam</v>
      </c>
      <c r="D84" s="23" t="str">
        <f>VLOOKUP(Draft[[#This Row],[Offical ID]],Table5[[Offical Id]:[Year]],3,FALSE)</f>
        <v>R-Fr.</v>
      </c>
      <c r="E84" s="23">
        <v>6000</v>
      </c>
      <c r="F84" s="63">
        <v>164.8</v>
      </c>
      <c r="G84" s="9">
        <v>365</v>
      </c>
      <c r="H84" s="9">
        <v>245</v>
      </c>
      <c r="I84" s="9">
        <v>225</v>
      </c>
      <c r="J84" s="9" t="e">
        <f>_xlfn.MAXIFS([1]Max_Speed_Accel_Decel!$J$2:$J$287,[1]Max_Speed_Accel_Decel!$C$2:$C$287,Draft[[#This Row],[Offical ID]])</f>
        <v>#VALUE!</v>
      </c>
      <c r="K84" s="9"/>
      <c r="L84" s="9"/>
    </row>
    <row r="85" spans="1:12" hidden="1" x14ac:dyDescent="0.2">
      <c r="A85" s="48" t="s">
        <v>291</v>
      </c>
      <c r="B85" s="21" t="s">
        <v>661</v>
      </c>
      <c r="C85" s="23" t="str">
        <f>CONCATENATE(VLOOKUP(Draft[[#This Row],[Offical ID]],Master_Roster[[Offical ID]:[Last Name]],4,FALSE)," ",VLOOKUP(Draft[[#This Row],[Offical ID]],Master_Roster[[Offical ID]:[Last Name]],3,FALSE))</f>
        <v>Speno Joseph</v>
      </c>
      <c r="D85" s="23" t="str">
        <f>VLOOKUP(Draft[[#This Row],[Offical ID]],Table5[[Offical Id]:[Year]],3,FALSE)</f>
        <v>Jr.</v>
      </c>
      <c r="E85" s="23">
        <v>6000</v>
      </c>
      <c r="F85" s="63">
        <v>282.2</v>
      </c>
      <c r="G85" s="9">
        <v>515</v>
      </c>
      <c r="H85" s="9">
        <v>320</v>
      </c>
      <c r="I85" s="9">
        <v>275</v>
      </c>
      <c r="J85" s="9" t="e">
        <f>_xlfn.MAXIFS([1]Max_Speed_Accel_Decel!$J$2:$J$287,[1]Max_Speed_Accel_Decel!$C$2:$C$287,Draft[[#This Row],[Offical ID]])</f>
        <v>#VALUE!</v>
      </c>
      <c r="K85" s="9"/>
      <c r="L85" s="9"/>
    </row>
    <row r="86" spans="1:12" hidden="1" x14ac:dyDescent="0.2">
      <c r="A86" s="48" t="s">
        <v>296</v>
      </c>
      <c r="B86" s="21" t="s">
        <v>682</v>
      </c>
      <c r="C86" s="23" t="str">
        <f>CONCATENATE(VLOOKUP(Draft[[#This Row],[Offical ID]],Master_Roster[[Offical ID]:[Last Name]],4,FALSE)," ",VLOOKUP(Draft[[#This Row],[Offical ID]],Master_Roster[[Offical ID]:[Last Name]],3,FALSE))</f>
        <v>Stallworth Jeremiah</v>
      </c>
      <c r="D86" s="23" t="str">
        <f>VLOOKUP(Draft[[#This Row],[Offical ID]],Table5[[Offical Id]:[Year]],3,FALSE)</f>
        <v>Fr.</v>
      </c>
      <c r="E86" s="23">
        <v>6000</v>
      </c>
      <c r="F86" s="63">
        <v>345.8</v>
      </c>
      <c r="G86" s="9">
        <v>270</v>
      </c>
      <c r="H86" s="9">
        <v>230</v>
      </c>
      <c r="I86" s="9">
        <v>205</v>
      </c>
      <c r="J86" s="9" t="e">
        <f>_xlfn.MAXIFS([1]Max_Speed_Accel_Decel!$J$2:$J$287,[1]Max_Speed_Accel_Decel!$C$2:$C$287,Draft[[#This Row],[Offical ID]])</f>
        <v>#VALUE!</v>
      </c>
      <c r="K86" s="9"/>
      <c r="L86" s="9"/>
    </row>
    <row r="87" spans="1:12" hidden="1" x14ac:dyDescent="0.2">
      <c r="A87" s="68" t="s">
        <v>54</v>
      </c>
      <c r="B87" s="25" t="s">
        <v>677</v>
      </c>
      <c r="C87" s="23" t="str">
        <f>CONCATENATE(VLOOKUP(Draft[[#This Row],[Offical ID]],Master_Roster[[Offical ID]:[Last Name]],4,FALSE)," ",VLOOKUP(Draft[[#This Row],[Offical ID]],Master_Roster[[Offical ID]:[Last Name]],3,FALSE))</f>
        <v>Summers Bryson</v>
      </c>
      <c r="D87" s="23" t="str">
        <f>VLOOKUP(Draft[[#This Row],[Offical ID]],Table5[[Offical Id]:[Year]],3,FALSE)</f>
        <v>Jr.</v>
      </c>
      <c r="E87" s="23">
        <v>6000</v>
      </c>
      <c r="F87" s="63">
        <v>314.8</v>
      </c>
      <c r="G87" s="9">
        <v>480</v>
      </c>
      <c r="H87" s="9">
        <v>315</v>
      </c>
      <c r="I87" s="9">
        <v>305</v>
      </c>
      <c r="J87" s="9" t="e">
        <f>_xlfn.MAXIFS([1]Max_Speed_Accel_Decel!$J$2:$J$287,[1]Max_Speed_Accel_Decel!$C$2:$C$287,Draft[[#This Row],[Offical ID]])</f>
        <v>#VALUE!</v>
      </c>
      <c r="K87" s="9"/>
      <c r="L87" s="9"/>
    </row>
    <row r="88" spans="1:12" ht="16.5" x14ac:dyDescent="0.2">
      <c r="A88" s="48" t="s">
        <v>18</v>
      </c>
      <c r="B88" s="54" t="s">
        <v>603</v>
      </c>
      <c r="C88" s="21" t="str">
        <f>CONCATENATE(VLOOKUP(Draft[[#This Row],[Offical ID]],Master_Roster[[Offical ID]:[Last Name]],4,FALSE)," ",VLOOKUP(Draft[[#This Row],[Offical ID]],Master_Roster[[Offical ID]:[Last Name]],3,FALSE))</f>
        <v>Moore Oscar</v>
      </c>
      <c r="D88" s="21" t="str">
        <f>VLOOKUP(Draft[[#This Row],[Offical ID]],Table5[[Offical Id]:[Year]],3,FALSE)</f>
        <v>Sr.</v>
      </c>
      <c r="E88" s="21"/>
      <c r="F88" s="73">
        <v>212.3</v>
      </c>
      <c r="G88" s="30">
        <v>335</v>
      </c>
      <c r="H88" s="30">
        <v>300</v>
      </c>
      <c r="I88" s="30" t="s">
        <v>923</v>
      </c>
      <c r="J88" s="74" t="e">
        <f>_xlfn.MAXIFS([1]Max_Speed_Accel_Decel!$J$2:$J$287,[1]Max_Speed_Accel_Decel!$C$2:$C$287,Draft[[#This Row],[Offical ID]])</f>
        <v>#VALUE!</v>
      </c>
      <c r="K88" s="103">
        <v>33.5</v>
      </c>
      <c r="L88" s="103" t="s">
        <v>935</v>
      </c>
    </row>
    <row r="89" spans="1:12" hidden="1" x14ac:dyDescent="0.2">
      <c r="A89" s="71" t="s">
        <v>72</v>
      </c>
      <c r="B89" s="24" t="s">
        <v>600</v>
      </c>
      <c r="C89" s="23" t="str">
        <f>CONCATENATE(VLOOKUP(Draft[[#This Row],[Offical ID]],Master_Roster[[Offical ID]:[Last Name]],4,FALSE)," ",VLOOKUP(Draft[[#This Row],[Offical ID]],Master_Roster[[Offical ID]:[Last Name]],3,FALSE))</f>
        <v>Tagaloa Brodie</v>
      </c>
      <c r="D89" s="23" t="str">
        <f>VLOOKUP(Draft[[#This Row],[Offical ID]],Table5[[Offical Id]:[Year]],3,FALSE)</f>
        <v>Jr.</v>
      </c>
      <c r="E89" s="23">
        <v>6000</v>
      </c>
      <c r="F89" s="63">
        <v>285.3</v>
      </c>
      <c r="G89" s="9">
        <v>440</v>
      </c>
      <c r="H89" s="9">
        <v>305</v>
      </c>
      <c r="I89" s="9">
        <v>295</v>
      </c>
      <c r="J89" s="9" t="e">
        <f>_xlfn.MAXIFS([1]Max_Speed_Accel_Decel!$J$2:$J$287,[1]Max_Speed_Accel_Decel!$C$2:$C$287,Draft[[#This Row],[Offical ID]])</f>
        <v>#VALUE!</v>
      </c>
      <c r="K89" s="9"/>
      <c r="L89" s="9"/>
    </row>
    <row r="90" spans="1:12" hidden="1" x14ac:dyDescent="0.2">
      <c r="A90" s="48" t="s">
        <v>274</v>
      </c>
      <c r="B90" s="21" t="s">
        <v>612</v>
      </c>
      <c r="C90" s="23" t="str">
        <f>CONCATENATE(VLOOKUP(Draft[[#This Row],[Offical ID]],Master_Roster[[Offical ID]:[Last Name]],4,FALSE)," ",VLOOKUP(Draft[[#This Row],[Offical ID]],Master_Roster[[Offical ID]:[Last Name]],3,FALSE))</f>
        <v>Tullis Malik</v>
      </c>
      <c r="D90" s="23" t="str">
        <f>VLOOKUP(Draft[[#This Row],[Offical ID]],Table5[[Offical Id]:[Year]],3,FALSE)</f>
        <v>Jr.</v>
      </c>
      <c r="E90" s="23">
        <v>6000</v>
      </c>
      <c r="F90" s="63">
        <v>283.2</v>
      </c>
      <c r="G90" s="9">
        <v>605</v>
      </c>
      <c r="H90" s="9">
        <v>365</v>
      </c>
      <c r="I90" s="9">
        <v>275</v>
      </c>
      <c r="J90" s="9" t="e">
        <f>_xlfn.MAXIFS([1]Max_Speed_Accel_Decel!$J$2:$J$287,[1]Max_Speed_Accel_Decel!$C$2:$C$287,Draft[[#This Row],[Offical ID]])</f>
        <v>#VALUE!</v>
      </c>
      <c r="K90" s="9"/>
      <c r="L90" s="9"/>
    </row>
    <row r="91" spans="1:12" hidden="1" x14ac:dyDescent="0.2">
      <c r="A91" s="48" t="s">
        <v>59</v>
      </c>
      <c r="B91" s="21" t="s">
        <v>667</v>
      </c>
      <c r="C91" s="23" t="str">
        <f>CONCATENATE(VLOOKUP(Draft[[#This Row],[Offical ID]],Master_Roster[[Offical ID]:[Last Name]],4,FALSE)," ",VLOOKUP(Draft[[#This Row],[Offical ID]],Master_Roster[[Offical ID]:[Last Name]],3,FALSE))</f>
        <v>Watts DeSean</v>
      </c>
      <c r="D91" s="23" t="str">
        <f>VLOOKUP(Draft[[#This Row],[Offical ID]],Table5[[Offical Id]:[Year]],3,FALSE)</f>
        <v>So.</v>
      </c>
      <c r="E91" s="23">
        <v>0</v>
      </c>
      <c r="F91" s="63">
        <v>317.85599999999999</v>
      </c>
      <c r="G91" s="9">
        <v>510</v>
      </c>
      <c r="H91" s="9">
        <v>370</v>
      </c>
      <c r="I91" s="9">
        <v>295</v>
      </c>
      <c r="J91" s="9" t="e">
        <f>_xlfn.MAXIFS([1]Max_Speed_Accel_Decel!$J$2:$J$287,[1]Max_Speed_Accel_Decel!$C$2:$C$287,Draft[[#This Row],[Offical ID]])</f>
        <v>#VALUE!</v>
      </c>
      <c r="K91" s="9"/>
      <c r="L91" s="9"/>
    </row>
    <row r="92" spans="1:12" hidden="1" x14ac:dyDescent="0.2">
      <c r="A92" s="68" t="s">
        <v>28</v>
      </c>
      <c r="B92" s="25" t="s">
        <v>646</v>
      </c>
      <c r="C92" s="23" t="str">
        <f>CONCATENATE(VLOOKUP(Draft[[#This Row],[Offical ID]],Master_Roster[[Offical ID]:[Last Name]],4,FALSE)," ",VLOOKUP(Draft[[#This Row],[Offical ID]],Master_Roster[[Offical ID]:[Last Name]],3,FALSE))</f>
        <v>Vi Pita</v>
      </c>
      <c r="D92" s="23" t="str">
        <f>VLOOKUP(Draft[[#This Row],[Offical ID]],Table5[[Offical Id]:[Year]],3,FALSE)</f>
        <v>Jr.</v>
      </c>
      <c r="E92" s="23">
        <v>0</v>
      </c>
      <c r="F92" s="63">
        <v>240.4</v>
      </c>
      <c r="G92" s="9">
        <v>485</v>
      </c>
      <c r="H92" s="9">
        <v>355</v>
      </c>
      <c r="I92" s="9">
        <v>335</v>
      </c>
      <c r="J92" s="9" t="e">
        <f>_xlfn.MAXIFS([1]Max_Speed_Accel_Decel!$J$2:$J$287,[1]Max_Speed_Accel_Decel!$C$2:$C$287,Draft[[#This Row],[Offical ID]])</f>
        <v>#VALUE!</v>
      </c>
      <c r="K92" s="9"/>
      <c r="L92" s="9"/>
    </row>
    <row r="93" spans="1:12" ht="16.5" x14ac:dyDescent="0.2">
      <c r="A93" s="48" t="s">
        <v>334</v>
      </c>
      <c r="B93" s="54" t="s">
        <v>597</v>
      </c>
      <c r="C93" s="21" t="str">
        <f>CONCATENATE(VLOOKUP(Draft[[#This Row],[Offical ID]],Master_Roster[[Offical ID]:[Last Name]],4,FALSE)," ",VLOOKUP(Draft[[#This Row],[Offical ID]],Master_Roster[[Offical ID]:[Last Name]],3,FALSE))</f>
        <v>Hammond Rodney</v>
      </c>
      <c r="D93" s="21" t="str">
        <f>VLOOKUP(Draft[[#This Row],[Offical ID]],Table5[[Offical Id]:[Year]],3,FALSE)</f>
        <v>Sr.</v>
      </c>
      <c r="E93" s="21">
        <v>5091</v>
      </c>
      <c r="F93" s="73">
        <v>192</v>
      </c>
      <c r="G93" s="30">
        <v>470</v>
      </c>
      <c r="H93" s="30">
        <v>270</v>
      </c>
      <c r="I93" s="30">
        <v>245</v>
      </c>
      <c r="J93" s="74" t="e">
        <f>_xlfn.MAXIFS([1]Max_Speed_Accel_Decel!$J$2:$J$287,[1]Max_Speed_Accel_Decel!$C$2:$C$287,Draft[[#This Row],[Offical ID]])</f>
        <v>#VALUE!</v>
      </c>
      <c r="K93" s="103">
        <v>33.5</v>
      </c>
      <c r="L93" s="103" t="s">
        <v>936</v>
      </c>
    </row>
    <row r="94" spans="1:12" hidden="1" x14ac:dyDescent="0.2">
      <c r="A94" s="71" t="s">
        <v>4</v>
      </c>
      <c r="B94" s="24" t="s">
        <v>648</v>
      </c>
      <c r="C94" s="23" t="str">
        <f>CONCATENATE(VLOOKUP(Draft[[#This Row],[Offical ID]],Master_Roster[[Offical ID]:[Last Name]],4,FALSE)," ",VLOOKUP(Draft[[#This Row],[Offical ID]],Master_Roster[[Offical ID]:[Last Name]],3,FALSE))</f>
        <v>Rocha Alex</v>
      </c>
      <c r="D94" s="23" t="str">
        <f>VLOOKUP(Draft[[#This Row],[Offical ID]],Table5[[Offical Id]:[Year]],3,FALSE)</f>
        <v>Jr.</v>
      </c>
      <c r="E94" s="23">
        <v>6000</v>
      </c>
      <c r="F94" s="63">
        <v>219.2</v>
      </c>
      <c r="G94" s="9">
        <v>385</v>
      </c>
      <c r="H94" s="9">
        <v>290</v>
      </c>
      <c r="I94" s="9">
        <v>275</v>
      </c>
      <c r="J94" s="9" t="e">
        <f>_xlfn.MAXIFS([1]Max_Speed_Accel_Decel!$J$2:$J$287,[1]Max_Speed_Accel_Decel!$C$2:$C$287,Draft[[#This Row],[Offical ID]])</f>
        <v>#VALUE!</v>
      </c>
      <c r="K94" s="9"/>
      <c r="L94" s="9"/>
    </row>
    <row r="95" spans="1:12" hidden="1" x14ac:dyDescent="0.2">
      <c r="A95" s="48" t="s">
        <v>38</v>
      </c>
      <c r="B95" s="21" t="s">
        <v>623</v>
      </c>
      <c r="C95" s="23" t="str">
        <f>CONCATENATE(VLOOKUP(Draft[[#This Row],[Offical ID]],Master_Roster[[Offical ID]:[Last Name]],4,FALSE)," ",VLOOKUP(Draft[[#This Row],[Offical ID]],Master_Roster[[Offical ID]:[Last Name]],3,FALSE))</f>
        <v>Scott Brennon</v>
      </c>
      <c r="D95" s="23" t="str">
        <f>VLOOKUP(Draft[[#This Row],[Offical ID]],Table5[[Offical Id]:[Year]],3,FALSE)</f>
        <v>Sr.</v>
      </c>
      <c r="E95" s="23">
        <v>6000</v>
      </c>
      <c r="F95" s="63">
        <v>242.2</v>
      </c>
      <c r="G95" s="9">
        <v>435</v>
      </c>
      <c r="H95" s="9">
        <v>280</v>
      </c>
      <c r="I95" s="9">
        <v>255</v>
      </c>
      <c r="J95" s="9" t="e">
        <f>_xlfn.MAXIFS([1]Max_Speed_Accel_Decel!$J$2:$J$287,[1]Max_Speed_Accel_Decel!$C$2:$C$287,Draft[[#This Row],[Offical ID]])</f>
        <v>#VALUE!</v>
      </c>
      <c r="K95" s="9"/>
      <c r="L95" s="9"/>
    </row>
    <row r="96" spans="1:12" hidden="1" x14ac:dyDescent="0.2">
      <c r="A96" s="68" t="s">
        <v>301</v>
      </c>
      <c r="B96" s="25" t="s">
        <v>692</v>
      </c>
      <c r="C96" s="23" t="str">
        <f>CONCATENATE(VLOOKUP(Draft[[#This Row],[Offical ID]],Master_Roster[[Offical ID]:[Last Name]],4,FALSE)," ",VLOOKUP(Draft[[#This Row],[Offical ID]],Master_Roster[[Offical ID]:[Last Name]],3,FALSE))</f>
        <v>Tenney Bear</v>
      </c>
      <c r="D96" s="23" t="str">
        <f>VLOOKUP(Draft[[#This Row],[Offical ID]],Table5[[Offical Id]:[Year]],3,FALSE)</f>
        <v>Fr.</v>
      </c>
      <c r="E96" s="23">
        <v>6000</v>
      </c>
      <c r="F96" s="63">
        <v>267.2</v>
      </c>
      <c r="G96" s="9" t="s">
        <v>923</v>
      </c>
      <c r="H96" s="9">
        <v>300</v>
      </c>
      <c r="I96" s="9">
        <v>165</v>
      </c>
      <c r="J96" s="9" t="e">
        <f>_xlfn.MAXIFS([1]Max_Speed_Accel_Decel!$J$2:$J$287,[1]Max_Speed_Accel_Decel!$C$2:$C$287,Draft[[#This Row],[Offical ID]])</f>
        <v>#VALUE!</v>
      </c>
      <c r="K96" s="9"/>
      <c r="L96" s="9"/>
    </row>
    <row r="97" spans="1:12" ht="16.5" x14ac:dyDescent="0.2">
      <c r="A97" s="48" t="s">
        <v>32</v>
      </c>
      <c r="B97" s="54" t="s">
        <v>652</v>
      </c>
      <c r="C97" s="21" t="str">
        <f>CONCATENATE(VLOOKUP(Draft[[#This Row],[Offical ID]],Master_Roster[[Offical ID]:[Last Name]],4,FALSE)," ",VLOOKUP(Draft[[#This Row],[Offical ID]],Master_Roster[[Offical ID]:[Last Name]],3,FALSE))</f>
        <v>Norris Sammy</v>
      </c>
      <c r="D97" s="21" t="str">
        <f>VLOOKUP(Draft[[#This Row],[Offical ID]],Table5[[Offical Id]:[Year]],3,FALSE)</f>
        <v>Sr.</v>
      </c>
      <c r="E97" s="21">
        <v>5107</v>
      </c>
      <c r="F97" s="73">
        <v>255</v>
      </c>
      <c r="G97" s="30">
        <v>510</v>
      </c>
      <c r="H97" s="30">
        <v>345</v>
      </c>
      <c r="I97" s="30">
        <v>275</v>
      </c>
      <c r="J97" s="74" t="e">
        <f>_xlfn.MAXIFS([1]Max_Speed_Accel_Decel!$J$2:$J$287,[1]Max_Speed_Accel_Decel!$C$2:$C$287,Draft[[#This Row],[Offical ID]])</f>
        <v>#VALUE!</v>
      </c>
      <c r="K97" s="103">
        <v>24.5</v>
      </c>
      <c r="L97" s="103" t="s">
        <v>937</v>
      </c>
    </row>
    <row r="98" spans="1:12" hidden="1" x14ac:dyDescent="0.2">
      <c r="A98" s="69" t="s">
        <v>30</v>
      </c>
      <c r="B98" s="70" t="s">
        <v>607</v>
      </c>
      <c r="C98" s="23" t="str">
        <f>CONCATENATE(VLOOKUP(Draft[[#This Row],[Offical ID]],Master_Roster[[Offical ID]:[Last Name]],4,FALSE)," ",VLOOKUP(Draft[[#This Row],[Offical ID]],Master_Roster[[Offical ID]:[Last Name]],3,FALSE))</f>
        <v>Williams Cardell</v>
      </c>
      <c r="D98" s="23" t="str">
        <f>VLOOKUP(Draft[[#This Row],[Offical ID]],Table5[[Offical Id]:[Year]],3,FALSE)</f>
        <v>Jr.</v>
      </c>
      <c r="E98" s="23">
        <v>0</v>
      </c>
      <c r="F98" s="63">
        <v>182.4</v>
      </c>
      <c r="G98" s="9">
        <v>340</v>
      </c>
      <c r="H98" s="9">
        <v>225</v>
      </c>
      <c r="I98" s="9" t="s">
        <v>923</v>
      </c>
      <c r="J98" s="9" t="e">
        <f>_xlfn.MAXIFS([1]Max_Speed_Accel_Decel!$J$2:$J$287,[1]Max_Speed_Accel_Decel!$C$2:$C$287,Draft[[#This Row],[Offical ID]])</f>
        <v>#VALUE!</v>
      </c>
      <c r="K98" s="9"/>
      <c r="L98" s="9"/>
    </row>
    <row r="99" spans="1:12" ht="16.5" x14ac:dyDescent="0.2">
      <c r="A99" s="48" t="s">
        <v>270</v>
      </c>
      <c r="B99" s="54" t="s">
        <v>595</v>
      </c>
      <c r="C99" s="21" t="str">
        <f>CONCATENATE(VLOOKUP(Draft[[#This Row],[Offical ID]],Master_Roster[[Offical ID]:[Last Name]],4,FALSE)," ",VLOOKUP(Draft[[#This Row],[Offical ID]],Master_Roster[[Offical ID]:[Last Name]],3,FALSE))</f>
        <v>Red Savion</v>
      </c>
      <c r="D99" s="21" t="str">
        <f>VLOOKUP(Draft[[#This Row],[Offical ID]],Table5[[Offical Id]:[Year]],3,FALSE)</f>
        <v>Sr.</v>
      </c>
      <c r="E99" s="21"/>
      <c r="F99" s="73">
        <v>234.2</v>
      </c>
      <c r="G99" s="30">
        <v>500</v>
      </c>
      <c r="H99" s="30">
        <v>300</v>
      </c>
      <c r="I99" s="30">
        <v>275</v>
      </c>
      <c r="J99" s="74" t="e">
        <f>_xlfn.MAXIFS([1]Max_Speed_Accel_Decel!$J$2:$J$287,[1]Max_Speed_Accel_Decel!$C$2:$C$287,Draft[[#This Row],[Offical ID]])</f>
        <v>#VALUE!</v>
      </c>
      <c r="K99" s="103">
        <v>31.5</v>
      </c>
      <c r="L99" s="103" t="s">
        <v>929</v>
      </c>
    </row>
    <row r="100" spans="1:12" ht="16.5" x14ac:dyDescent="0.2">
      <c r="A100" s="48" t="s">
        <v>29</v>
      </c>
      <c r="B100" s="54" t="s">
        <v>598</v>
      </c>
      <c r="C100" s="21" t="str">
        <f>CONCATENATE(VLOOKUP(Draft[[#This Row],[Offical ID]],Master_Roster[[Offical ID]:[Last Name]],4,FALSE)," ",VLOOKUP(Draft[[#This Row],[Offical ID]],Master_Roster[[Offical ID]:[Last Name]],3,FALSE))</f>
        <v>Wright Deven</v>
      </c>
      <c r="D100" s="21" t="str">
        <f>VLOOKUP(Draft[[#This Row],[Offical ID]],Table5[[Offical Id]:[Year]],3,FALSE)</f>
        <v>R-Sr.</v>
      </c>
      <c r="E100" s="21"/>
      <c r="F100" s="73">
        <v>205.2</v>
      </c>
      <c r="G100" s="30">
        <v>410</v>
      </c>
      <c r="H100" s="30">
        <v>320</v>
      </c>
      <c r="I100" s="30">
        <v>305</v>
      </c>
      <c r="J100" s="74" t="e">
        <f>_xlfn.MAXIFS([1]Max_Speed_Accel_Decel!$J$2:$J$287,[1]Max_Speed_Accel_Decel!$C$2:$C$287,Draft[[#This Row],[Offical ID]])</f>
        <v>#VALUE!</v>
      </c>
      <c r="K100" s="103">
        <v>31.5</v>
      </c>
      <c r="L100" s="103" t="s">
        <v>938</v>
      </c>
    </row>
    <row r="101" spans="1:12" ht="16.5" x14ac:dyDescent="0.2">
      <c r="A101" s="48" t="s">
        <v>15</v>
      </c>
      <c r="B101" s="54" t="s">
        <v>609</v>
      </c>
      <c r="C101" s="21" t="str">
        <f>CONCATENATE(VLOOKUP(Draft[[#This Row],[Offical ID]],Master_Roster[[Offical ID]:[Last Name]],4,FALSE)," ",VLOOKUP(Draft[[#This Row],[Offical ID]],Master_Roster[[Offical ID]:[Last Name]],3,FALSE))</f>
        <v>Conerly Tim</v>
      </c>
      <c r="D101" s="21" t="str">
        <f>VLOOKUP(Draft[[#This Row],[Offical ID]],Table5[[Offical Id]:[Year]],3,FALSE)</f>
        <v>Sr.</v>
      </c>
      <c r="E101" s="21">
        <v>5090</v>
      </c>
      <c r="F101" s="73">
        <v>160.6</v>
      </c>
      <c r="G101" s="30">
        <v>305</v>
      </c>
      <c r="H101" s="30">
        <v>245</v>
      </c>
      <c r="I101" s="30">
        <v>185</v>
      </c>
      <c r="J101" s="74" t="e">
        <f>_xlfn.MAXIFS([1]Max_Speed_Accel_Decel!$J$2:$J$287,[1]Max_Speed_Accel_Decel!$C$2:$C$287,Draft[[#This Row],[Offical ID]])</f>
        <v>#VALUE!</v>
      </c>
      <c r="K101" s="103">
        <v>31.5</v>
      </c>
      <c r="L101" s="103" t="s">
        <v>927</v>
      </c>
    </row>
    <row r="102" spans="1:12" hidden="1" x14ac:dyDescent="0.2">
      <c r="A102" s="72" t="s">
        <v>875</v>
      </c>
      <c r="B102" s="70" t="s">
        <v>879</v>
      </c>
      <c r="C102" s="23" t="str">
        <f>CONCATENATE(VLOOKUP(Draft[[#This Row],[Offical ID]],Master_Roster[[Offical ID]:[Last Name]],4,FALSE)," ",VLOOKUP(Draft[[#This Row],[Offical ID]],Master_Roster[[Offical ID]:[Last Name]],3,FALSE))</f>
        <v>Susini Max</v>
      </c>
      <c r="D102" s="23" t="s">
        <v>367</v>
      </c>
      <c r="E102" s="23">
        <v>6000</v>
      </c>
      <c r="F102" s="63" t="s">
        <v>923</v>
      </c>
      <c r="G102" s="9">
        <v>255</v>
      </c>
      <c r="H102" s="9">
        <v>255</v>
      </c>
      <c r="I102" s="9">
        <v>215</v>
      </c>
      <c r="J102" s="9" t="e">
        <f>_xlfn.MAXIFS([1]Max_Speed_Accel_Decel!$J$2:$J$287,[1]Max_Speed_Accel_Decel!$C$2:$C$287,Draft[[#This Row],[Offical ID]])</f>
        <v>#VALUE!</v>
      </c>
      <c r="K102" s="9"/>
      <c r="L102" s="9"/>
    </row>
    <row r="103" spans="1:12" ht="16.5" x14ac:dyDescent="0.2">
      <c r="A103" s="48" t="s">
        <v>16</v>
      </c>
      <c r="B103" s="54" t="s">
        <v>616</v>
      </c>
      <c r="C103" s="21" t="str">
        <f>CONCATENATE(VLOOKUP(Draft[[#This Row],[Offical ID]],Master_Roster[[Offical ID]:[Last Name]],4,FALSE)," ",VLOOKUP(Draft[[#This Row],[Offical ID]],Master_Roster[[Offical ID]:[Last Name]],3,FALSE))</f>
        <v>Thomson Gavin</v>
      </c>
      <c r="D103" s="21" t="str">
        <f>VLOOKUP(Draft[[#This Row],[Offical ID]],Table5[[Offical Id]:[Year]],3,FALSE)</f>
        <v>R-Sr.</v>
      </c>
      <c r="E103" s="21"/>
      <c r="F103" s="73">
        <v>190.2</v>
      </c>
      <c r="G103" s="30">
        <v>360</v>
      </c>
      <c r="H103" s="30">
        <v>285</v>
      </c>
      <c r="I103" s="30" t="s">
        <v>923</v>
      </c>
      <c r="J103" s="74" t="e">
        <f>_xlfn.MAXIFS([1]Max_Speed_Accel_Decel!$J$2:$J$287,[1]Max_Speed_Accel_Decel!$C$2:$C$287,Draft[[#This Row],[Offical ID]])</f>
        <v>#VALUE!</v>
      </c>
      <c r="K103" s="103">
        <v>34</v>
      </c>
      <c r="L103" s="103" t="s">
        <v>936</v>
      </c>
    </row>
    <row r="104" spans="1:12" hidden="1" x14ac:dyDescent="0.2">
      <c r="A104" s="71" t="s">
        <v>371</v>
      </c>
      <c r="B104" s="24" t="s">
        <v>606</v>
      </c>
      <c r="C104" s="23" t="str">
        <f>CONCATENATE(VLOOKUP(Draft[[#This Row],[Offical ID]],Master_Roster[[Offical ID]:[Last Name]],4,FALSE)," ",VLOOKUP(Draft[[#This Row],[Offical ID]],Master_Roster[[Offical ID]:[Last Name]],3,FALSE))</f>
        <v>Smith Warren</v>
      </c>
      <c r="D104" s="23" t="str">
        <f>VLOOKUP(Draft[[#This Row],[Offical ID]],Table5[[Offical Id]:[Year]],3,FALSE)</f>
        <v>R-So.</v>
      </c>
      <c r="E104" s="23">
        <v>6000</v>
      </c>
      <c r="F104" s="63">
        <v>186.2</v>
      </c>
      <c r="G104" s="9">
        <v>335</v>
      </c>
      <c r="H104" s="9">
        <v>285</v>
      </c>
      <c r="I104" s="9">
        <v>205</v>
      </c>
      <c r="J104" s="9" t="e">
        <f>_xlfn.MAXIFS([1]Max_Speed_Accel_Decel!$J$2:$J$287,[1]Max_Speed_Accel_Decel!$C$2:$C$287,Draft[[#This Row],[Offical ID]])</f>
        <v>#VALUE!</v>
      </c>
      <c r="K104" s="9"/>
      <c r="L104" s="9"/>
    </row>
    <row r="105" spans="1:12" hidden="1" x14ac:dyDescent="0.2">
      <c r="A105" s="68" t="s">
        <v>10</v>
      </c>
      <c r="B105" s="25" t="s">
        <v>614</v>
      </c>
      <c r="C105" s="23" t="str">
        <f>CONCATENATE(VLOOKUP(Draft[[#This Row],[Offical ID]],Master_Roster[[Offical ID]:[Last Name]],4,FALSE)," ",VLOOKUP(Draft[[#This Row],[Offical ID]],Master_Roster[[Offical ID]:[Last Name]],3,FALSE))</f>
        <v>Wilson Jace</v>
      </c>
      <c r="D105" s="23" t="str">
        <f>VLOOKUP(Draft[[#This Row],[Offical ID]],Table5[[Offical Id]:[Year]],3,FALSE)</f>
        <v>Jr.</v>
      </c>
      <c r="E105" s="23">
        <v>0</v>
      </c>
      <c r="F105" s="63">
        <v>218.4</v>
      </c>
      <c r="G105" s="9">
        <v>365</v>
      </c>
      <c r="H105" s="9">
        <v>270</v>
      </c>
      <c r="I105" s="9">
        <v>275</v>
      </c>
      <c r="J105" s="9" t="e">
        <f>_xlfn.MAXIFS([1]Max_Speed_Accel_Decel!$J$2:$J$287,[1]Max_Speed_Accel_Decel!$C$2:$C$287,Draft[[#This Row],[Offical ID]])</f>
        <v>#VALUE!</v>
      </c>
      <c r="K105" s="9"/>
      <c r="L105" s="9"/>
    </row>
    <row r="106" spans="1:12" ht="16.5" x14ac:dyDescent="0.2">
      <c r="A106" s="48" t="s">
        <v>1</v>
      </c>
      <c r="B106" s="54" t="s">
        <v>657</v>
      </c>
      <c r="C106" s="21" t="str">
        <f>CONCATENATE(VLOOKUP(Draft[[#This Row],[Offical ID]],Master_Roster[[Offical ID]:[Last Name]],4,FALSE)," ",VLOOKUP(Draft[[#This Row],[Offical ID]],Master_Roster[[Offical ID]:[Last Name]],3,FALSE))</f>
        <v>Williams Xavier</v>
      </c>
      <c r="D106" s="21" t="str">
        <f>VLOOKUP(Draft[[#This Row],[Offical ID]],Table5[[Offical Id]:[Year]],3,FALSE)</f>
        <v>Sr.</v>
      </c>
      <c r="E106" s="21">
        <v>6023</v>
      </c>
      <c r="F106" s="73">
        <v>248.8</v>
      </c>
      <c r="G106" s="30">
        <v>615</v>
      </c>
      <c r="H106" s="30">
        <v>375</v>
      </c>
      <c r="I106" s="30">
        <v>325</v>
      </c>
      <c r="J106" s="74" t="e">
        <f>_xlfn.MAXIFS([1]Max_Speed_Accel_Decel!$J$2:$J$287,[1]Max_Speed_Accel_Decel!$C$2:$C$287,Draft[[#This Row],[Offical ID]])</f>
        <v>#VALUE!</v>
      </c>
      <c r="K106" s="103">
        <v>34.5</v>
      </c>
      <c r="L106" s="103" t="s">
        <v>939</v>
      </c>
    </row>
    <row r="107" spans="1:12" hidden="1" x14ac:dyDescent="0.2">
      <c r="A107" s="71" t="s">
        <v>43</v>
      </c>
      <c r="B107" s="24" t="s">
        <v>699</v>
      </c>
      <c r="C107" s="23" t="str">
        <f>CONCATENATE(VLOOKUP(Draft[[#This Row],[Offical ID]],Master_Roster[[Offical ID]:[Last Name]],4,FALSE)," ",VLOOKUP(Draft[[#This Row],[Offical ID]],Master_Roster[[Offical ID]:[Last Name]],3,FALSE))</f>
        <v>Firebaugh Joseph</v>
      </c>
      <c r="D107" s="23" t="str">
        <f>VLOOKUP(Draft[[#This Row],[Offical ID]],Table5[[Offical Id]:[Year]],3,FALSE)</f>
        <v>Jr.</v>
      </c>
      <c r="E107" s="23">
        <f>VLOOKUP(Draft[[#This Row],[Offical ID]],'[2]Athlete Info'!$A$2:$E$110,5)</f>
        <v>5061</v>
      </c>
      <c r="F107" s="63" t="str">
        <f>IFERROR(AVERAGEIFS([3]BW!$C$2:$C$3619,[3]BW!$D$2:$D$3619,B107,[3]BW!$B$2:$B$3619,_xlfn.MAXIFS([3]BW!$B$2:$B$3619,[3]BW!$D$2:$D$3619,Draft[[#This Row],[Offical ID]])),"")</f>
        <v/>
      </c>
      <c r="G107" s="9">
        <f>IFERROR(AVERAGEIFS('[3]Squat Maxes'!$AP$3:$AP$112,'[3]Squat Maxes'!$AG$3:$AG$112,B107),"")</f>
        <v>265</v>
      </c>
      <c r="H107" s="9">
        <f>IFERROR(AVERAGEIFS('[3]Bench Maxes'!$AQ$3:$AQ$112,'[3]Bench Maxes'!$AH$3:$AH$112,B107),"")</f>
        <v>230</v>
      </c>
      <c r="I107" s="9">
        <f>IFERROR(AVERAGEIFS('[3]Clean Maxes'!$AD$3:$AD$112,'[3]Clean Maxes'!$Y$3:$Y$112,B107),"")</f>
        <v>245</v>
      </c>
      <c r="J107" s="9" t="e">
        <f>_xlfn.MAXIFS([1]Max_Speed_Accel_Decel!$J$2:$J$287,[1]Max_Speed_Accel_Decel!$C$2:$C$287,Draft[[#This Row],[Offical ID]])</f>
        <v>#VALUE!</v>
      </c>
      <c r="K107" s="9"/>
      <c r="L107" s="9"/>
    </row>
    <row r="108" spans="1:12" hidden="1" x14ac:dyDescent="0.2">
      <c r="A108" s="48" t="s">
        <v>36</v>
      </c>
      <c r="B108" s="21" t="s">
        <v>658</v>
      </c>
      <c r="C108" s="23" t="str">
        <f>CONCATENATE(VLOOKUP(Draft[[#This Row],[Offical ID]],Master_Roster[[Offical ID]:[Last Name]],4,FALSE)," ",VLOOKUP(Draft[[#This Row],[Offical ID]],Master_Roster[[Offical ID]:[Last Name]],3,FALSE))</f>
        <v>Johnston Adam</v>
      </c>
      <c r="D108" s="23" t="str">
        <f>VLOOKUP(Draft[[#This Row],[Offical ID]],Table5[[Offical Id]:[Year]],3,FALSE)</f>
        <v>R-So.</v>
      </c>
      <c r="E108" s="23">
        <f>VLOOKUP(Draft[[#This Row],[Offical ID]],'[2]Athlete Info'!$A$2:$E$110,5)</f>
        <v>5060</v>
      </c>
      <c r="F108" s="63" t="str">
        <f>IFERROR(AVERAGEIFS([3]BW!$C$2:$C$3619,[3]BW!$D$2:$D$3619,B108,[3]BW!$B$2:$B$3619,_xlfn.MAXIFS([3]BW!$B$2:$B$3619,[3]BW!$D$2:$D$3619,Draft[[#This Row],[Offical ID]])),"")</f>
        <v/>
      </c>
      <c r="G108" s="9">
        <f>IFERROR(AVERAGEIFS('[3]Squat Maxes'!$AP$3:$AP$112,'[3]Squat Maxes'!$AG$3:$AG$112,B108),"")</f>
        <v>375</v>
      </c>
      <c r="H108" s="9">
        <f>IFERROR(AVERAGEIFS('[3]Bench Maxes'!$AQ$3:$AQ$112,'[3]Bench Maxes'!$AH$3:$AH$112,B108),"")</f>
        <v>280</v>
      </c>
      <c r="I108" s="9">
        <f>IFERROR(AVERAGEIFS('[3]Clean Maxes'!$AD$3:$AD$112,'[3]Clean Maxes'!$Y$3:$Y$112,B108),"")</f>
        <v>255</v>
      </c>
      <c r="J108" s="9" t="e">
        <f>_xlfn.MAXIFS([1]Max_Speed_Accel_Decel!$J$2:$J$287,[1]Max_Speed_Accel_Decel!$C$2:$C$287,Draft[[#This Row],[Offical ID]])</f>
        <v>#VALUE!</v>
      </c>
      <c r="K108" s="9"/>
      <c r="L108" s="9"/>
    </row>
    <row r="109" spans="1:12" hidden="1" x14ac:dyDescent="0.2">
      <c r="A109" s="48" t="s">
        <v>37</v>
      </c>
      <c r="B109" s="21" t="s">
        <v>651</v>
      </c>
      <c r="C109" s="23" t="str">
        <f>CONCATENATE(VLOOKUP(Draft[[#This Row],[Offical ID]],Master_Roster[[Offical ID]:[Last Name]],4,FALSE)," ",VLOOKUP(Draft[[#This Row],[Offical ID]],Master_Roster[[Offical ID]:[Last Name]],3,FALSE))</f>
        <v>McDowell Connor</v>
      </c>
      <c r="D109" s="23" t="str">
        <f>VLOOKUP(Draft[[#This Row],[Offical ID]],Table5[[Offical Id]:[Year]],3,FALSE)</f>
        <v>Sr.</v>
      </c>
      <c r="E109" s="23">
        <f>VLOOKUP(Draft[[#This Row],[Offical ID]],'[2]Athlete Info'!$A$2:$E$110,5)</f>
        <v>6050</v>
      </c>
      <c r="F109" s="63" t="str">
        <f>IFERROR(AVERAGEIFS([3]BW!$C$2:$C$3619,[3]BW!$D$2:$D$3619,B109,[3]BW!$B$2:$B$3619,_xlfn.MAXIFS([3]BW!$B$2:$B$3619,[3]BW!$D$2:$D$3619,Draft[[#This Row],[Offical ID]])),"")</f>
        <v/>
      </c>
      <c r="G109" s="9">
        <f>IFERROR(AVERAGEIFS('[3]Squat Maxes'!$AP$3:$AP$112,'[3]Squat Maxes'!$AG$3:$AG$112,B109),"")</f>
        <v>325</v>
      </c>
      <c r="H109" s="9">
        <f>IFERROR(AVERAGEIFS('[3]Bench Maxes'!$AQ$3:$AQ$112,'[3]Bench Maxes'!$AH$3:$AH$112,B109),"")</f>
        <v>245</v>
      </c>
      <c r="I109" s="9">
        <f>IFERROR(AVERAGEIFS('[3]Clean Maxes'!$AD$3:$AD$112,'[3]Clean Maxes'!$Y$3:$Y$112,B109),"")</f>
        <v>240</v>
      </c>
      <c r="J109" s="9" t="e">
        <f>_xlfn.MAXIFS([1]Max_Speed_Accel_Decel!$J$2:$J$287,[1]Max_Speed_Accel_Decel!$C$2:$C$287,Draft[[#This Row],[Offical ID]])</f>
        <v>#VALUE!</v>
      </c>
      <c r="K109" s="9"/>
      <c r="L109" s="9"/>
    </row>
    <row r="110" spans="1:12" hidden="1" x14ac:dyDescent="0.2">
      <c r="A110" s="64" t="s">
        <v>40</v>
      </c>
      <c r="B110" s="35" t="s">
        <v>695</v>
      </c>
      <c r="C110" s="23" t="str">
        <f>CONCATENATE(VLOOKUP(Draft[[#This Row],[Offical ID]],Master_Roster[[Offical ID]:[Last Name]],4,FALSE)," ",VLOOKUP(Draft[[#This Row],[Offical ID]],Master_Roster[[Offical ID]:[Last Name]],3,FALSE))</f>
        <v>McGough Cal</v>
      </c>
      <c r="D110" s="23" t="str">
        <f>VLOOKUP(Draft[[#This Row],[Offical ID]],Table5[[Offical Id]:[Year]],3,FALSE)</f>
        <v>Sr.</v>
      </c>
      <c r="E110" s="23">
        <f>VLOOKUP(Draft[[#This Row],[Offical ID]],'[2]Athlete Info'!$A$2:$E$110,5)</f>
        <v>5106</v>
      </c>
      <c r="F110" s="63" t="str">
        <f>IFERROR(AVERAGEIFS([3]BW!$C$2:$C$3619,[3]BW!$D$2:$D$3619,B110,[3]BW!$B$2:$B$3619,_xlfn.MAXIFS([3]BW!$B$2:$B$3619,[3]BW!$D$2:$D$3619,Draft[[#This Row],[Offical ID]])),"")</f>
        <v/>
      </c>
      <c r="G110" s="9">
        <f>IFERROR(AVERAGEIFS('[3]Squat Maxes'!$AP$3:$AP$112,'[3]Squat Maxes'!$AG$3:$AG$112,B110),"")</f>
        <v>335</v>
      </c>
      <c r="H110" s="9" t="str">
        <f>IFERROR(AVERAGEIFS('[3]Bench Maxes'!$AQ$3:$AQ$112,'[3]Bench Maxes'!$AH$3:$AH$112,B110),"")</f>
        <v/>
      </c>
      <c r="I110" s="9">
        <f>IFERROR(AVERAGEIFS('[3]Clean Maxes'!$AD$3:$AD$112,'[3]Clean Maxes'!$Y$3:$Y$112,B110),"")</f>
        <v>210</v>
      </c>
      <c r="J110" s="9" t="e">
        <f>_xlfn.MAXIFS([1]Max_Speed_Accel_Decel!$J$2:$J$287,[1]Max_Speed_Accel_Decel!$C$2:$C$287,Draft[[#This Row],[Offical ID]])</f>
        <v>#VALUE!</v>
      </c>
      <c r="K110" s="9"/>
      <c r="L110" s="9"/>
    </row>
    <row r="111" spans="1:12" hidden="1" x14ac:dyDescent="0.2">
      <c r="A111" s="64" t="s">
        <v>39</v>
      </c>
      <c r="B111" s="35" t="s">
        <v>660</v>
      </c>
      <c r="C111" s="23" t="str">
        <f>CONCATENATE(VLOOKUP(Draft[[#This Row],[Offical ID]],Master_Roster[[Offical ID]:[Last Name]],4,FALSE)," ",VLOOKUP(Draft[[#This Row],[Offical ID]],Master_Roster[[Offical ID]:[Last Name]],3,FALSE))</f>
        <v>Meadors Grant</v>
      </c>
      <c r="D111" s="23" t="str">
        <f>VLOOKUP(Draft[[#This Row],[Offical ID]],Table5[[Offical Id]:[Year]],3,FALSE)</f>
        <v>So.</v>
      </c>
      <c r="E111" s="23">
        <f>VLOOKUP(Draft[[#This Row],[Offical ID]],'[2]Athlete Info'!$A$2:$E$110,5)</f>
        <v>5106</v>
      </c>
      <c r="F111" s="63" t="str">
        <f>IFERROR(AVERAGEIFS([3]BW!$C$2:$C$3619,[3]BW!$D$2:$D$3619,B111,[3]BW!$B$2:$B$3619,_xlfn.MAXIFS([3]BW!$B$2:$B$3619,[3]BW!$D$2:$D$3619,Draft[[#This Row],[Offical ID]])),"")</f>
        <v/>
      </c>
      <c r="G111" s="9">
        <f>IFERROR(AVERAGEIFS('[3]Squat Maxes'!$AP$3:$AP$112,'[3]Squat Maxes'!$AG$3:$AG$112,B111),"")</f>
        <v>235</v>
      </c>
      <c r="H111" s="9">
        <f>IFERROR(AVERAGEIFS('[3]Bench Maxes'!$AQ$3:$AQ$112,'[3]Bench Maxes'!$AH$3:$AH$112,B111),"")</f>
        <v>230</v>
      </c>
      <c r="I111" s="9">
        <f>IFERROR(AVERAGEIFS('[3]Clean Maxes'!$AD$3:$AD$112,'[3]Clean Maxes'!$Y$3:$Y$112,B111),"")</f>
        <v>245</v>
      </c>
      <c r="J111" s="9" t="e">
        <f>_xlfn.MAXIFS([1]Max_Speed_Accel_Decel!$J$2:$J$287,[1]Max_Speed_Accel_Decel!$C$2:$C$287,Draft[[#This Row],[Offical ID]])</f>
        <v>#VALUE!</v>
      </c>
      <c r="K111" s="9"/>
      <c r="L111" s="9"/>
    </row>
    <row r="112" spans="1:12" hidden="1" x14ac:dyDescent="0.2">
      <c r="A112" s="65" t="s">
        <v>42</v>
      </c>
      <c r="B112" s="35" t="s">
        <v>670</v>
      </c>
      <c r="C112" s="23" t="str">
        <f>CONCATENATE(VLOOKUP(Draft[[#This Row],[Offical ID]],Master_Roster[[Offical ID]:[Last Name]],4,FALSE)," ",VLOOKUP(Draft[[#This Row],[Offical ID]],Master_Roster[[Offical ID]:[Last Name]],3,FALSE))</f>
        <v>Melanson Mike</v>
      </c>
      <c r="D112" s="23" t="str">
        <f>VLOOKUP(Draft[[#This Row],[Offical ID]],Table5[[Offical Id]:[Year]],3,FALSE)</f>
        <v>Sr.</v>
      </c>
      <c r="E112" s="23">
        <f>VLOOKUP(Draft[[#This Row],[Offical ID]],'[2]Athlete Info'!$A$2:$E$110,5)</f>
        <v>5106</v>
      </c>
      <c r="F112" s="63" t="str">
        <f>IFERROR(AVERAGEIFS([3]BW!$C$2:$C$3619,[3]BW!$D$2:$D$3619,B112,[3]BW!$B$2:$B$3619,_xlfn.MAXIFS([3]BW!$B$2:$B$3619,[3]BW!$D$2:$D$3619,Draft[[#This Row],[Offical ID]])),"")</f>
        <v/>
      </c>
      <c r="G112" s="9">
        <f>IFERROR(AVERAGEIFS('[3]Squat Maxes'!$AP$3:$AP$112,'[3]Squat Maxes'!$AG$3:$AG$112,B112),"")</f>
        <v>295</v>
      </c>
      <c r="H112" s="9">
        <f>IFERROR(AVERAGEIFS('[3]Bench Maxes'!$AQ$3:$AQ$112,'[3]Bench Maxes'!$AH$3:$AH$112,B112),"")</f>
        <v>235</v>
      </c>
      <c r="I112" s="9">
        <f>IFERROR(AVERAGEIFS('[3]Clean Maxes'!$AD$3:$AD$112,'[3]Clean Maxes'!$Y$3:$Y$112,B112),"")</f>
        <v>235</v>
      </c>
      <c r="J112" s="9" t="e">
        <f>_xlfn.MAXIFS([1]Max_Speed_Accel_Decel!$J$2:$J$287,[1]Max_Speed_Accel_Decel!$C$2:$C$287,Draft[[#This Row],[Offical ID]])</f>
        <v>#VALUE!</v>
      </c>
      <c r="K112" s="9"/>
      <c r="L112" s="9"/>
    </row>
    <row r="113" spans="1:12" hidden="1" x14ac:dyDescent="0.2">
      <c r="A113" s="64" t="s">
        <v>896</v>
      </c>
      <c r="B113" s="35" t="s">
        <v>897</v>
      </c>
      <c r="C113" s="23" t="str">
        <f>CONCATENATE(VLOOKUP(Draft[[#This Row],[Offical ID]],Master_Roster[[Offical ID]:[Last Name]],4,FALSE)," ",VLOOKUP(Draft[[#This Row],[Offical ID]],Master_Roster[[Offical ID]:[Last Name]],3,FALSE))</f>
        <v>Sprague Luke</v>
      </c>
      <c r="D113" s="23" t="s">
        <v>322</v>
      </c>
      <c r="E113" s="23">
        <f>VLOOKUP(Draft[[#This Row],[Offical ID]],'[2]Athlete Info'!$A$2:$E$110,5)</f>
        <v>6000</v>
      </c>
      <c r="F113" s="63" t="str">
        <f>IFERROR(AVERAGEIFS([3]BW!$C$2:$C$3619,[3]BW!$D$2:$D$3619,B113,[3]BW!$B$2:$B$3619,_xlfn.MAXIFS([3]BW!$B$2:$B$3619,[3]BW!$D$2:$D$3619,Draft[[#This Row],[Offical ID]])),"")</f>
        <v/>
      </c>
      <c r="G113" s="9" t="str">
        <f>IFERROR(AVERAGEIFS('[3]Squat Maxes'!$AP$3:$AP$112,'[3]Squat Maxes'!$AG$3:$AG$112,B113),"")</f>
        <v/>
      </c>
      <c r="H113" s="9" t="str">
        <f>IFERROR(AVERAGEIFS('[3]Bench Maxes'!$AQ$3:$AQ$112,'[3]Bench Maxes'!$AH$3:$AH$112,B113),"")</f>
        <v/>
      </c>
      <c r="I113" s="9" t="str">
        <f>IFERROR(AVERAGEIFS('[3]Clean Maxes'!$AD$3:$AD$112,'[3]Clean Maxes'!$Y$3:$Y$112,B113),"")</f>
        <v/>
      </c>
      <c r="J113" s="9" t="e">
        <f>_xlfn.MAXIFS([1]Max_Speed_Accel_Decel!$J$2:$J$287,[1]Max_Speed_Accel_Decel!$C$2:$C$287,Draft[[#This Row],[Offical ID]])</f>
        <v>#VALUE!</v>
      </c>
      <c r="K113" s="9"/>
      <c r="L113" s="9"/>
    </row>
  </sheetData>
  <mergeCells count="1">
    <mergeCell ref="A1:L1"/>
  </mergeCells>
  <pageMargins left="0.25" right="0.25" top="0.75" bottom="0.75" header="0.3" footer="0.3"/>
  <pageSetup scale="74" fitToHeight="0" orientation="portrait" r:id="rId1"/>
  <ignoredErrors>
    <ignoredError sqref="E4:I4 F3:I3 E6:I7 F5:I5 E9:I16 F8:I8 E18:I27 F17:I17 E29:I36 F28:I28 E38:I40 F37:I37 E42:I54 F41:I41 E56:I58 F55:I55 E60:I61 F59:I59 E63:I69 F62:I62 E71:I73 F70:I70 E75:I81 F74:I74 E83:I87 F82:I82 E89:I92 F88:I88 E94:I96 F93:I93 E98:I98 F97:I97 E100:I100 F99:I99 E102:I102 F101:I101 E104:I106 F103:I103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Master</vt:lpstr>
      <vt:lpstr>Sheet4</vt:lpstr>
      <vt:lpstr>Sheet1</vt:lpstr>
      <vt:lpstr>Groups 721</vt:lpstr>
      <vt:lpstr>Vendors</vt:lpstr>
      <vt:lpstr>Online Roster</vt:lpstr>
      <vt:lpstr>Sheet2</vt:lpstr>
      <vt:lpstr>Docks V4</vt:lpstr>
      <vt:lpstr>Docks V4 (2)</vt:lpstr>
      <vt:lpstr>Dock Builder</vt:lpstr>
      <vt:lpstr>Sheet3</vt:lpstr>
      <vt:lpstr>Draft Eligable Stats</vt:lpstr>
      <vt:lpstr>Docks V4!Print_Area</vt:lpstr>
      <vt:lpstr>Docks V4 (2)!Print_Area</vt:lpstr>
      <vt:lpstr>Groups 721!Print_Area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Torin Shanahan</dc:creator>
  <cp:lastModifiedBy>Shanahan, Torin</cp:lastModifiedBy>
  <cp:lastPrinted>2025-09-08T00:53:17Z</cp:lastPrinted>
  <dcterms:created xsi:type="dcterms:W3CDTF">2025-07-06T16:07:15Z</dcterms:created>
  <dcterms:modified xsi:type="dcterms:W3CDTF">2025-10-16T14:58:10Z</dcterms:modified>
</cp:coreProperties>
</file>